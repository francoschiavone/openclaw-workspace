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2x2 Grid Output" sheetId="1" r:id="rId4"/>
    <sheet state="visible" name="Core HR Records" sheetId="2" r:id="rId5"/>
    <sheet state="visible" name="Payroll" sheetId="3" r:id="rId6"/>
    <sheet state="visible" name="Benefits" sheetId="4" r:id="rId7"/>
    <sheet state="visible" name="Organizational Structure" sheetId="5" r:id="rId8"/>
    <sheet state="visible" name="Position Management" sheetId="6" r:id="rId9"/>
    <sheet state="visible" name="Time &amp; Attendance" sheetId="7" r:id="rId10"/>
    <sheet state="visible" name="Leave Management" sheetId="8" r:id="rId11"/>
    <sheet state="visible" name="Scheduling" sheetId="9" r:id="rId12"/>
    <sheet state="visible" name="Performance Management" sheetId="10" r:id="rId13"/>
    <sheet state="visible" name="Talent Acquisition" sheetId="11" r:id="rId14"/>
    <sheet state="visible" name="Learning &amp; Development" sheetId="12" r:id="rId15"/>
    <sheet state="visible" name="Onboarding &amp; Offboarding" sheetId="13" r:id="rId16"/>
    <sheet state="visible" name="Succession Planning" sheetId="14" r:id="rId17"/>
    <sheet state="visible" name="Compensation Management" sheetId="15" r:id="rId18"/>
    <sheet state="visible" name="Workforce Planning" sheetId="16" r:id="rId19"/>
    <sheet state="hidden" name="Lists" sheetId="17" r:id="rId20"/>
  </sheets>
  <definedNames>
    <definedName localSheetId="2" name="FifthLayer">OFFSET(#REF!,0,0,1,#REF!)</definedName>
    <definedName name="FifthLayer">OFFSET(#REF!,0,0,1,#REF!)</definedName>
    <definedName localSheetId="2" name="FirstLayer">OFFSET(#REF!,0,0,1,#REF!)</definedName>
    <definedName name="FirstLayer">OFFSET(#REF!,0,0,1,#REF!)</definedName>
    <definedName localSheetId="2" name="FourthLayer">OFFSET(#REF!,0,0,1,#REF!)</definedName>
    <definedName name="FourthLayer">OFFSET(#REF!,0,0,1,#REF!)</definedName>
    <definedName localSheetId="2" name="Percentage">OFFSET(#REF!,0,0,1,#REF!)</definedName>
    <definedName name="Percentage">OFFSET(#REF!,0,0,1,#REF!)</definedName>
    <definedName localSheetId="2" name="SecondLayer">OFFSET(#REF!,0,0,1,#REF!)</definedName>
    <definedName name="SecondLayer">OFFSET(#REF!,0,0,1,#REF!)</definedName>
    <definedName localSheetId="2" name="SixthLayer">OFFSET(#REF!,0,0,1,#REF!)</definedName>
    <definedName name="SixthLayer">OFFSET(#REF!,0,0,1,#REF!)</definedName>
    <definedName localSheetId="2" name="ThirdLayer">OFFSET(#REF!,0,0,1,#REF!)</definedName>
    <definedName name="ThirdLayer">OFFSET(#REF!,0,0,1,#REF!)</definedName>
    <definedName name="List_4">Lists!$B$17:$B$18</definedName>
    <definedName localSheetId="9" name="Check11">'Performance Management'!$E$27</definedName>
    <definedName localSheetId="8" name="Check11">Scheduling!$E$27</definedName>
    <definedName name="List_2">Lists!$D$2:$D$6</definedName>
    <definedName name="List_3">Lists!$B$12:$B$14</definedName>
    <definedName localSheetId="10" name="Check11">'Talent Acquisition'!$E$27</definedName>
    <definedName name="List_1">Lists!$B$2:$B$5</definedName>
    <definedName localSheetId="5" name="Check11">'Position Management'!$E$27</definedName>
    <definedName localSheetId="7" name="Check11">'Leave Management'!$E$27</definedName>
    <definedName localSheetId="13" name="Check11">'Succession Planning'!$E$27</definedName>
    <definedName localSheetId="2" name="Check11">Payroll!$E$27</definedName>
    <definedName localSheetId="4" name="Check11">'Organizational Structure'!$E$27</definedName>
    <definedName localSheetId="3" name="Check11">Benefits!$E$27</definedName>
    <definedName localSheetId="6" name="Check11">'Time &amp; Attendance'!$E$27</definedName>
    <definedName localSheetId="11" name="Check11">'Learning &amp; Development'!$E$27</definedName>
    <definedName localSheetId="14" name="Check11">'Compensation Management'!$E$27</definedName>
    <definedName localSheetId="1" name="Check11">'Core HR Records'!$E$27</definedName>
    <definedName localSheetId="12" name="Check11">'Onboarding &amp; Offboarding'!$E$27</definedName>
    <definedName localSheetId="15" name="Check11">'Workforce Planning'!$E$27</definedName>
  </definedNames>
  <calcPr/>
  <extLst>
    <ext uri="GoogleSheetsCustomDataVersion2">
      <go:sheetsCustomData xmlns:go="http://customooxmlschemas.google.com/" r:id="rId21" roundtripDataChecksum="t0TT3URpLho1jpOt+4koqi5xnZtU9PSP8Nv/PeLkjkU="/>
    </ext>
  </extLst>
</workbook>
</file>

<file path=xl/sharedStrings.xml><?xml version="1.0" encoding="utf-8"?>
<sst xmlns="http://schemas.openxmlformats.org/spreadsheetml/2006/main" count="816" uniqueCount="449">
  <si>
    <t>Horizontal Axis
(X-Axis)</t>
  </si>
  <si>
    <t>Vertical Axis
(Y-Axis)</t>
  </si>
  <si>
    <t>Ranked Order</t>
  </si>
  <si>
    <t>Highest Value</t>
  </si>
  <si>
    <t>Appearing 1st</t>
  </si>
  <si>
    <t>TOP RIGHT</t>
  </si>
  <si>
    <t>Lowest Value</t>
  </si>
  <si>
    <t>Appearing 2nd</t>
  </si>
  <si>
    <t>BOTTOM RIGHT</t>
  </si>
  <si>
    <t>Mid-Point Value</t>
  </si>
  <si>
    <t>Appearing 3rd</t>
  </si>
  <si>
    <t>TOP LEFT</t>
  </si>
  <si>
    <t>Appearing 4th</t>
  </si>
  <si>
    <t>BOTTOM LEFT</t>
  </si>
  <si>
    <t>TOP RIGHT
(Data Series 1)</t>
  </si>
  <si>
    <t>BOTTOM RIGHT
(Data Series 2)</t>
  </si>
  <si>
    <t>TOP LEFT
(Data Series 3)</t>
  </si>
  <si>
    <t>BOTTOM LEFT
(Data Series 4)</t>
  </si>
  <si>
    <t>Create Sorted List</t>
  </si>
  <si>
    <t>Label</t>
  </si>
  <si>
    <t>X Value</t>
  </si>
  <si>
    <t>Y Value</t>
  </si>
  <si>
    <t>Quadrant?</t>
  </si>
  <si>
    <t>Arbitrary Factor</t>
  </si>
  <si>
    <t>Rank</t>
  </si>
  <si>
    <t>Quadrant</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</si>
  <si>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</si>
  <si>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</si>
  <si>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</si>
  <si>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</si>
  <si>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</si>
  <si>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</si>
  <si>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</si>
  <si>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</si>
  <si>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</si>
  <si>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</si>
  <si>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</si>
  <si>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</si>
  <si>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</si>
  <si>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</si>
  <si>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</si>
  <si>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</si>
  <si>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</si>
  <si>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</si>
  <si>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</si>
  <si>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</si>
  <si>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</si>
  <si>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</si>
  <si>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</si>
  <si>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</si>
  <si>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</si>
  <si>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</si>
  <si>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</si>
  <si>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</si>
  <si>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</si>
  <si>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</si>
  <si>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</si>
  <si>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</si>
  <si>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</si>
  <si>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</si>
  <si>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</si>
  <si>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</si>
  <si>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</si>
  <si>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</si>
  <si>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</si>
  <si>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</si>
  <si>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</si>
  <si>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</si>
  <si>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</si>
  <si>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</si>
  <si>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</si>
  <si>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</si>
  <si>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</si>
  <si>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</si>
  <si>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</si>
  <si>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</si>
  <si>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Core HR Records</t>
  </si>
  <si>
    <r>
      <rPr>
        <rFont val="Arial"/>
        <b/>
        <color theme="0"/>
        <sz val="11.0"/>
      </rPr>
      <t xml:space="preserve">Mandatory or Desirable
</t>
    </r>
    <r>
      <rPr>
        <rFont val="Arial"/>
        <b val="0"/>
        <color theme="0"/>
        <sz val="11.0"/>
      </rPr>
      <t>(Select an answer from the drop-down options)</t>
    </r>
  </si>
  <si>
    <r>
      <rPr>
        <rFont val="Arial"/>
        <b/>
        <color theme="0"/>
        <sz val="11.0"/>
      </rPr>
      <t xml:space="preserve">Vendor Response </t>
    </r>
    <r>
      <rPr>
        <rFont val="Arial"/>
        <b val="0"/>
        <color theme="0"/>
        <sz val="11.0"/>
      </rPr>
      <t>(Select an answer from the drop-down options)</t>
    </r>
  </si>
  <si>
    <t>Notes</t>
  </si>
  <si>
    <t>Record and store employee personally identifiable information (name, address, contact information, SSN/SIN, DOB)</t>
  </si>
  <si>
    <t>Must have</t>
  </si>
  <si>
    <t>Yes with Configuration</t>
  </si>
  <si>
    <t>would like ability to mask some data on reports</t>
  </si>
  <si>
    <t>Support for multiple geographies, locations, divisions</t>
  </si>
  <si>
    <t>No</t>
  </si>
  <si>
    <t>Create department-specific cost centers</t>
  </si>
  <si>
    <t>Cost centers would be used for benefits related items.  Think this is more of a financial requirment.</t>
  </si>
  <si>
    <t>Integrate department cost centers with financial systems</t>
  </si>
  <si>
    <t>Think this is more of a financial requirment.</t>
  </si>
  <si>
    <t>Record and track employee hierarchy information including reporting employees, supervisor, and delegates</t>
  </si>
  <si>
    <t>Necessary for org charts, successiong planning, PTO work flow for approvals, and performance management.</t>
  </si>
  <si>
    <t>Support multiple employee types (full-time, part-time, casual, etc.)</t>
  </si>
  <si>
    <t>Payroll will also need for tracking PTO eligibility</t>
  </si>
  <si>
    <t>Auto-generate unique identifiers for tracking employees</t>
  </si>
  <si>
    <t>Thinking this is for assigning employee numbers.</t>
  </si>
  <si>
    <t>Provide visibility into job history, status history, salary history, leave detail, and other effective-date changes to the employee record</t>
  </si>
  <si>
    <t>Support tracking of employee union groups</t>
  </si>
  <si>
    <t>This would be a payroll requirement.</t>
  </si>
  <si>
    <t>Track employee tenure details (original hire, time in job, union seniority)</t>
  </si>
  <si>
    <t>Need for Service award tracking among other things.</t>
  </si>
  <si>
    <t>Record and store union-related information</t>
  </si>
  <si>
    <t>Payroll must have this.</t>
  </si>
  <si>
    <t>Store and easily recover all employee historic job details (job change, salary changes, etc.)</t>
  </si>
  <si>
    <t>Track employee dependencies and other tax-related impacts</t>
  </si>
  <si>
    <t>Need to discuss further regarding uses for this. Not sure about how benefits will fold into this if at all.</t>
  </si>
  <si>
    <t>Track configurable status codes for employees (active, leave, suspended, etc.)</t>
  </si>
  <si>
    <t>Support open field text boxes for descriptions of key events</t>
  </si>
  <si>
    <t>Need to discuss further - not sure if must have.</t>
  </si>
  <si>
    <t>Maintain health and safety reporting for all employees by generating standard health and safety reports, including employee incident histories</t>
  </si>
  <si>
    <t>Could have</t>
  </si>
  <si>
    <t>I think this will be housed somewhere else - depends on what safety systems will be doing.</t>
  </si>
  <si>
    <t>Record and track employee demographic information where applicable</t>
  </si>
  <si>
    <t>Payroll must have for taxes.</t>
  </si>
  <si>
    <t>Support employee updates for life changes (marriage, moves, dependents etc.)</t>
  </si>
  <si>
    <t>Provide employees self-service capability to update own personal information</t>
  </si>
  <si>
    <t>Should have</t>
  </si>
  <si>
    <t>This portal would be very helpful.</t>
  </si>
  <si>
    <t>Allow employees to view/update payroll information (e.g. address, bank detail, pay split between bank accounts)</t>
  </si>
  <si>
    <t>Yes</t>
  </si>
  <si>
    <t>Provide audit trail for all updates/changes</t>
  </si>
  <si>
    <t>Support mass-update configuration changes</t>
  </si>
  <si>
    <t xml:space="preserve">Need for pay increases and bonuses for payroll at minimum. </t>
  </si>
  <si>
    <t>Create custom fields for storing additional data</t>
  </si>
  <si>
    <t>Example:  Bonus Eligible check box field</t>
  </si>
  <si>
    <t>Maintain compliance-related records (e.g. I-9, Veterans status, travel visa, etc.)</t>
  </si>
  <si>
    <t>Track job information</t>
  </si>
  <si>
    <t>Would like more of an explanation for this one.</t>
  </si>
  <si>
    <t>Payroll</t>
  </si>
  <si>
    <r>
      <rPr>
        <rFont val="Arial"/>
        <b/>
        <color theme="0"/>
        <sz val="11.0"/>
      </rPr>
      <t xml:space="preserve">Mandatory or Desirable
</t>
    </r>
    <r>
      <rPr>
        <rFont val="Arial"/>
        <b val="0"/>
        <color theme="0"/>
        <sz val="11.0"/>
      </rPr>
      <t>(Select an answer from the drop-down options)</t>
    </r>
  </si>
  <si>
    <r>
      <rPr>
        <rFont val="Arial"/>
        <b/>
        <color theme="0"/>
        <sz val="11.0"/>
      </rPr>
      <t xml:space="preserve">Vendor Response </t>
    </r>
    <r>
      <rPr>
        <rFont val="Arial"/>
        <b val="0"/>
        <color theme="0"/>
        <sz val="11.0"/>
      </rPr>
      <t>(Select an answer from the drop-down options)</t>
    </r>
  </si>
  <si>
    <t>Integration with time capture, leave management, and other time &amp; attendance modules</t>
  </si>
  <si>
    <t>Ability to import and export time records in various formats (e.g. flat files, direct to third party)</t>
  </si>
  <si>
    <t>Ability to report on statutory requirements (e.g. overtime hours for FMLA, ACA)</t>
  </si>
  <si>
    <t>Ability to generate forms associated with statutory requirements (e.g. 1095-C, 1094-C for ACA)</t>
  </si>
  <si>
    <t>Custom payroll reporting by group, type, earning codes, deduction codes, and other parameters</t>
  </si>
  <si>
    <t>Exception tracking mechanism for incident type and incidence</t>
  </si>
  <si>
    <t>Ability to run payroll at regular and irregular intervals (weekly, bi-weekly, off-cycle)</t>
  </si>
  <si>
    <t>Ability to provide employees access to pay slips and statements</t>
  </si>
  <si>
    <t>Employee portal very helpful</t>
  </si>
  <si>
    <t>Year-end reports in applicable format (e.g. W-2, T4)</t>
  </si>
  <si>
    <t xml:space="preserve">Ability to track leave categories (e.g. FMLA, STD, LTD, Parental, etc.) </t>
  </si>
  <si>
    <t>Fields to input bank information for direct deposit</t>
  </si>
  <si>
    <t xml:space="preserve">Employee portal very helpful </t>
  </si>
  <si>
    <t>Split-pay functionality where part of regular (or other) pay is deposited to an account other than the employee's primary</t>
  </si>
  <si>
    <t>We can function with one account, but prefer two.</t>
  </si>
  <si>
    <t>Visibility into deduction and earning registers</t>
  </si>
  <si>
    <t>Pre-configuration of earning/deduction codes based on employee location, type, and hours</t>
  </si>
  <si>
    <t>Tax distribution summary, GL distribution summary for current and past periods</t>
  </si>
  <si>
    <t>Integration with the GL in the financial system or ERP</t>
  </si>
  <si>
    <t xml:space="preserve">Direct deposit file, check files, and other remittance files </t>
  </si>
  <si>
    <t>Deduction listing for voluntary deductions - insurance, dues, etc.</t>
  </si>
  <si>
    <t>Ability to configure effective-date payroll start/end for new hires and terminations</t>
  </si>
  <si>
    <t>Reports for total cost of payroll for current run and historical</t>
  </si>
  <si>
    <t>Workflow associated with exception tracking</t>
  </si>
  <si>
    <t>Note: Payroll does not report to HR, but these seem necessary for payroll run audits, master control reports, and tax and financial reporting.</t>
  </si>
  <si>
    <t>Benefits</t>
  </si>
  <si>
    <r>
      <rPr>
        <rFont val="Arial"/>
        <b/>
        <color theme="0"/>
        <sz val="11.0"/>
      </rPr>
      <t xml:space="preserve">Mandatory or Desirable
</t>
    </r>
    <r>
      <rPr>
        <rFont val="Arial"/>
        <b val="0"/>
        <color theme="0"/>
        <sz val="11.0"/>
      </rPr>
      <t>(Select an answer from the drop-down options)</t>
    </r>
  </si>
  <si>
    <r>
      <rPr>
        <rFont val="Arial"/>
        <b/>
        <color theme="0"/>
        <sz val="11.0"/>
      </rPr>
      <t xml:space="preserve">Vendor Response </t>
    </r>
    <r>
      <rPr>
        <rFont val="Arial"/>
        <b val="0"/>
        <color theme="0"/>
        <sz val="11.0"/>
      </rPr>
      <t>(Select an answer from the drop-down options)</t>
    </r>
  </si>
  <si>
    <t>Support the setup of multiple benefit plans</t>
  </si>
  <si>
    <t>Support for unique enrollment dates for multiple benefit plans</t>
  </si>
  <si>
    <t>Associate benefit election and availability based on job class, stratum, or other hierarchical classification</t>
  </si>
  <si>
    <t>Note: Currently have 7 benefits plans, and not sure how this integration would work. All plans and enrollments now sit outside internal platforms. Requires more discussion.</t>
  </si>
  <si>
    <t>Automatic enrollment for employees based on hierarchical classification</t>
  </si>
  <si>
    <t>Offer a platform for employees to enroll in benefit plans or integrate with carriers</t>
  </si>
  <si>
    <t xml:space="preserve">Provide forms to enter participant information (including dependents) </t>
  </si>
  <si>
    <t>Display and track enrollment status and eligibility for employees</t>
  </si>
  <si>
    <t>Provide administrative capability to indicate inactive participant when an employee is terminated, retires, or becomes otherwise ineligible for participation in the benefits plan</t>
  </si>
  <si>
    <t>Provide participants with information about enrollment in different plans (including cost)</t>
  </si>
  <si>
    <t>Enable employees to store and access policy-related forms and documents</t>
  </si>
  <si>
    <t>Integrate with life events tracked in the system that would impact eligibility and premiums</t>
  </si>
  <si>
    <t>Integrate with leave management capability impacting benefit eligibility</t>
  </si>
  <si>
    <t>Prompt employees to update information when an event impacts eligibility</t>
  </si>
  <si>
    <t>Provide notification or reporting when employee becomes ineligible (termination, leave, retirement, death, etc.)</t>
  </si>
  <si>
    <t>Support employee self-services for changes in dependents, marital status, insurability, or other events impacting eligibility</t>
  </si>
  <si>
    <t>Provide employees access to view benefit summaries</t>
  </si>
  <si>
    <t>Provide retired employees with access to information about benefit eligibility and tenure dates (years of service, employment dates)</t>
  </si>
  <si>
    <t>Maintain multiple types of plans (e.g. Health, Dental, Life &amp; AD&amp;D, Long Term disability, retirement and pension, EAP, and non-financial benefits)</t>
  </si>
  <si>
    <t>Automatically action workflows based on employees meeting eligibility criteria (e.g. tenure, demographic information, life events)</t>
  </si>
  <si>
    <t>Provide compliance reporting capability and exportable forms</t>
  </si>
  <si>
    <t>Integrate with payroll administration</t>
  </si>
  <si>
    <t>Provide tools to manage the employee disability process, including status reports, modified eligibility, and important date tracking</t>
  </si>
  <si>
    <t>Report on disability management elements specifically and in aggregate, including lifetime eligibility, amount of leave taken, disability claims by type and financial impact</t>
  </si>
  <si>
    <t>Track and report on employer-side benefit contribution</t>
  </si>
  <si>
    <t>Produce benefit summary reports at configurable intervals (quarterly, annually, etc.)</t>
  </si>
  <si>
    <t>Organizational Structure</t>
  </si>
  <si>
    <r>
      <rPr>
        <rFont val="Arial"/>
        <b/>
        <color theme="0"/>
        <sz val="11.0"/>
      </rPr>
      <t xml:space="preserve">Mandatory or Desirable
</t>
    </r>
    <r>
      <rPr>
        <rFont val="Arial"/>
        <b val="0"/>
        <color theme="0"/>
        <sz val="11.0"/>
      </rPr>
      <t>(Select an answer from the drop-down options)</t>
    </r>
  </si>
  <si>
    <r>
      <rPr>
        <rFont val="Arial"/>
        <b/>
        <color theme="0"/>
        <sz val="11.0"/>
      </rPr>
      <t xml:space="preserve">Vendor Response </t>
    </r>
    <r>
      <rPr>
        <rFont val="Arial"/>
        <b val="0"/>
        <color theme="0"/>
        <sz val="11.0"/>
      </rPr>
      <t>(Select an answer from the drop-down options)</t>
    </r>
  </si>
  <si>
    <t>Support the creation of multiple organizational units, including companies, divisions, and departments</t>
  </si>
  <si>
    <t>Support multiple organizational views based on configurable criteria</t>
  </si>
  <si>
    <t>Visual representation of organizational levels with drill-down capability</t>
  </si>
  <si>
    <t>Snapshot (point-in-time) organizational structure reporting</t>
  </si>
  <si>
    <t>Ability to track supervisor information both current and historical</t>
  </si>
  <si>
    <t>Visibility into delegates and contingency resources</t>
  </si>
  <si>
    <t>Reporting into span-of-control</t>
  </si>
  <si>
    <t>Would like more of a description of what this entails.</t>
  </si>
  <si>
    <t>Ability to configure different structures of the organization (hierarchical, matrix, dotted-line)</t>
  </si>
  <si>
    <t xml:space="preserve">Export organizational charts in multiple formats (Excel, image, pdf, etc.) </t>
  </si>
  <si>
    <t>Position Management</t>
  </si>
  <si>
    <r>
      <rPr>
        <rFont val="Arial"/>
        <b/>
        <color theme="0"/>
        <sz val="11.0"/>
      </rPr>
      <t xml:space="preserve">Mandatory or Desirable
</t>
    </r>
    <r>
      <rPr>
        <rFont val="Arial"/>
        <b val="0"/>
        <color theme="0"/>
        <sz val="11.0"/>
      </rPr>
      <t>(Select an answer from the drop-down options)</t>
    </r>
  </si>
  <si>
    <r>
      <rPr>
        <rFont val="Arial"/>
        <b/>
        <color theme="0"/>
        <sz val="11.0"/>
      </rPr>
      <t xml:space="preserve">Vendor Response </t>
    </r>
    <r>
      <rPr>
        <rFont val="Arial"/>
        <b val="0"/>
        <color theme="0"/>
        <sz val="11.0"/>
      </rPr>
      <t>(Select an answer from the drop-down options)</t>
    </r>
  </si>
  <si>
    <t>Create/manage jobs and job details</t>
  </si>
  <si>
    <t>Track all employee job-specific data (job grades, job families, salary, reports to, etc.)</t>
  </si>
  <si>
    <t>Maintain job status (active, inactive)</t>
  </si>
  <si>
    <t>Maintain job linkages for progression and career pathing</t>
  </si>
  <si>
    <t>Retain job history including title changes, reclassification, and inclusion in career paths</t>
  </si>
  <si>
    <t>Maintain job requirements including licenses, certifications, compliance-related training, clearance, and other specifics</t>
  </si>
  <si>
    <t>This is part of Lumber's BuilderFax solution - Credential Management module</t>
  </si>
  <si>
    <t>Track job details including name, description, class/stratum, job family, job type, salary band or grade, FT/PT</t>
  </si>
  <si>
    <t>May not need all, but need some.</t>
  </si>
  <si>
    <t>Maintain compensation information associated with the job (range, midpoint, market benchmark)</t>
  </si>
  <si>
    <t>Track EEO, FLSA, and other compliance-related data</t>
  </si>
  <si>
    <t>Maintain jobs across multiple departments, geographical locations, companies, divisions, and other structural distinctions</t>
  </si>
  <si>
    <t>Provide for detailed position reporting</t>
  </si>
  <si>
    <t>Need more detail.</t>
  </si>
  <si>
    <t>Maintain link to job requisition, job description, job evaluation specifics (where applicable), and inclusion in collective bargaining agreements</t>
  </si>
  <si>
    <t>Yes with Customization</t>
  </si>
  <si>
    <t>Need more details on what information is requested to include into CBA. Should be doable.</t>
  </si>
  <si>
    <t>Time &amp; Attendance</t>
  </si>
  <si>
    <r>
      <rPr>
        <rFont val="Arial"/>
        <b/>
        <color theme="0"/>
        <sz val="11.0"/>
      </rPr>
      <t xml:space="preserve">Mandatory or Desirable
</t>
    </r>
    <r>
      <rPr>
        <rFont val="Arial"/>
        <b val="0"/>
        <color theme="0"/>
        <sz val="11.0"/>
      </rPr>
      <t>(Select an answer from the drop-down options)</t>
    </r>
  </si>
  <si>
    <r>
      <rPr>
        <rFont val="Arial"/>
        <b/>
        <color theme="0"/>
        <sz val="11.0"/>
      </rPr>
      <t xml:space="preserve">Vendor Response </t>
    </r>
    <r>
      <rPr>
        <rFont val="Arial"/>
        <b val="0"/>
        <color theme="0"/>
        <sz val="11.0"/>
      </rPr>
      <t>(Select an answer from the drop-down options)</t>
    </r>
  </si>
  <si>
    <t>Create employee work schedules</t>
  </si>
  <si>
    <t>Export/print schedules in standard templates</t>
  </si>
  <si>
    <t>Support the calculation of benefit entitlements based on multiple inputs (hours/day, days per weeks, fixed, bi-weekly, etc.)</t>
  </si>
  <si>
    <t>Custom define accruals rules by job, position, and employee</t>
  </si>
  <si>
    <t>Support multiple direct employee input types (swipe cards, biometrics, online timesheets)</t>
  </si>
  <si>
    <t>Swipe cards not available today.</t>
  </si>
  <si>
    <t>Integrate timecard and payroll data within the application</t>
  </si>
  <si>
    <t>Override schedules at source</t>
  </si>
  <si>
    <t>Track and report employee attendance</t>
  </si>
  <si>
    <t>Allow employees and managers to view timecard information via self-service interface</t>
  </si>
  <si>
    <t>Indefinite audit trail of all timecard updates</t>
  </si>
  <si>
    <t>Automatic alerts for exceptions (rules violations, overtime allowances, etc.)</t>
  </si>
  <si>
    <t>Automatically schedule payroll reports, including validation and error reports</t>
  </si>
  <si>
    <t>Includes real-time access for cost/budget statistics</t>
  </si>
  <si>
    <t>Support tracking of labor statistics for timesheets</t>
  </si>
  <si>
    <t xml:space="preserve">We have numerous reports on crew productivity and OT along with cost vs budget allocation. Need to know more about requirements. </t>
  </si>
  <si>
    <t>Integration with payroll processing</t>
  </si>
  <si>
    <t>Integration with position management (e.g. transfer of job role information from the core HR system)</t>
  </si>
  <si>
    <t>Integration with both physical and virtual time clocks</t>
  </si>
  <si>
    <t>Configure multiple time and attendance rule sets to accommodate collective bargaining agreements or employee types</t>
  </si>
  <si>
    <t>Leave Management</t>
  </si>
  <si>
    <r>
      <rPr>
        <rFont val="Arial"/>
        <b/>
        <color theme="0"/>
        <sz val="11.0"/>
      </rPr>
      <t xml:space="preserve">Mandatory or Desirable
</t>
    </r>
    <r>
      <rPr>
        <rFont val="Arial"/>
        <b val="0"/>
        <color theme="0"/>
        <sz val="11.0"/>
      </rPr>
      <t>(Select an answer from the drop-down options)</t>
    </r>
  </si>
  <si>
    <r>
      <rPr>
        <rFont val="Arial"/>
        <b/>
        <color theme="0"/>
        <sz val="11.0"/>
      </rPr>
      <t xml:space="preserve">Vendor Response </t>
    </r>
    <r>
      <rPr>
        <rFont val="Arial"/>
        <b val="0"/>
        <color theme="0"/>
        <sz val="11.0"/>
      </rPr>
      <t>(Select an answer from the drop-down options)</t>
    </r>
  </si>
  <si>
    <t>Support salaried and hourly employees</t>
  </si>
  <si>
    <t>Team and global visibility into calendar displaying absences by date, location, and type</t>
  </si>
  <si>
    <t>Support multiple rounding rules for accruals types (vacation/sick, benefits)</t>
  </si>
  <si>
    <t>Track absence history</t>
  </si>
  <si>
    <t>Track multiple absence accruals (vacation, sick, personal days, etc.)</t>
  </si>
  <si>
    <t>Track multiple leave types (vacation, STD, maternity, etc.).</t>
  </si>
  <si>
    <t>Support workflow for manager approvals.</t>
  </si>
  <si>
    <t>Support workflow (including defined lock-down stages) for multi-step approvals processes</t>
  </si>
  <si>
    <t>Allow employees to schedule and cancel leaves/absences via self-service interface</t>
  </si>
  <si>
    <t>Email notifications for approvals of both timecards and absence requests</t>
  </si>
  <si>
    <t>Need to obtain preferred workflow to configure</t>
  </si>
  <si>
    <t>Provide notifications/alerts or reports associated with leave overages or exceptions</t>
  </si>
  <si>
    <t>Support leave-bidding functionality</t>
  </si>
  <si>
    <t>Need more clarity around this one.</t>
  </si>
  <si>
    <t>Support for blackout days and time unavailable for leave</t>
  </si>
  <si>
    <t>Track leave start and end dates</t>
  </si>
  <si>
    <t>Support monthly accrual for paid leave plans</t>
  </si>
  <si>
    <t>Support leave carryover and tracking</t>
  </si>
  <si>
    <t>Configure leave plans based on employee parameters like seniority, employee type, and other characteristics</t>
  </si>
  <si>
    <t>Scheduling</t>
  </si>
  <si>
    <r>
      <rPr>
        <rFont val="Arial"/>
        <b/>
        <color theme="0"/>
        <sz val="11.0"/>
      </rPr>
      <t xml:space="preserve">Mandatory or Desirable
</t>
    </r>
    <r>
      <rPr>
        <rFont val="Arial"/>
        <b val="0"/>
        <color theme="0"/>
        <sz val="11.0"/>
      </rPr>
      <t>(Select an answer from the drop-down options)</t>
    </r>
  </si>
  <si>
    <r>
      <rPr>
        <rFont val="Arial"/>
        <b/>
        <color theme="0"/>
        <sz val="11.0"/>
      </rPr>
      <t xml:space="preserve">Vendor Response </t>
    </r>
    <r>
      <rPr>
        <rFont val="Arial"/>
        <b val="0"/>
        <color theme="0"/>
        <sz val="11.0"/>
      </rPr>
      <t>(Select an answer from the drop-down options)</t>
    </r>
  </si>
  <si>
    <t>Reporting into capacity and shift overlaps</t>
  </si>
  <si>
    <t>Provide shift-swapping capability</t>
  </si>
  <si>
    <t>Need more insight on the usecase.</t>
  </si>
  <si>
    <t>Maintain a master schedule for all scheduled work types and groups</t>
  </si>
  <si>
    <t>Shift-bidding functionality accounting for employee tenure, job class, and other qualifiers</t>
  </si>
  <si>
    <t xml:space="preserve">Are they looking for automation to recommend which crews or craft are available? </t>
  </si>
  <si>
    <t xml:space="preserve">Advanced scheduling based on capacity plan, demand projections </t>
  </si>
  <si>
    <t>Alerts/notifications related to scheduling exceptions, staffing variances, shortages</t>
  </si>
  <si>
    <t>Need to understand requirements end-to-end</t>
  </si>
  <si>
    <t>Configure recurring schedules and schedule patterns</t>
  </si>
  <si>
    <t>Recurring tasks available</t>
  </si>
  <si>
    <t>Visibility into shift rotation (on/off days)</t>
  </si>
  <si>
    <t>Need more information to help understand details</t>
  </si>
  <si>
    <t>Ad hoc shift and schedule changes</t>
  </si>
  <si>
    <t>Ability to build shift-specific rules (e.g. multiple shift limit, role requirements)</t>
  </si>
  <si>
    <t>Ability to define shift diffrentials and OT + DOT rules to govern accruate pay out.</t>
  </si>
  <si>
    <t>Compliance with applicable legislation (e.g. FLSA)</t>
  </si>
  <si>
    <t xml:space="preserve">Roster management including available, unavailable, leave, available but not qualified, available and qualified </t>
  </si>
  <si>
    <t>Support for split-shifts and other scheduled overrides</t>
  </si>
  <si>
    <t>Overtime request notifications and alerts</t>
  </si>
  <si>
    <t>Status tracking for employees (on call/standby, available, unavailable)</t>
  </si>
  <si>
    <t>Need to validate expected workflow and requirements</t>
  </si>
  <si>
    <t>Support for blackout rules integrated with global leave schedule</t>
  </si>
  <si>
    <t>Configure bidding rules for shifts, rotations, and temporary assignments</t>
  </si>
  <si>
    <t>Need more details.</t>
  </si>
  <si>
    <t>Workflow for schedule receipt or change requests</t>
  </si>
  <si>
    <t xml:space="preserve">Schedule view is available for employees as well as change request capture on a timesheet. Change request workflow for schedule change would need to be customized. </t>
  </si>
  <si>
    <t>Audit trail for all request submissions, approvals, and denials</t>
  </si>
  <si>
    <t xml:space="preserve">Any time card event, change update, or approval, is captured in our current audit trail </t>
  </si>
  <si>
    <t>Ability to view and schedule alternate resources when an employee is unavailable</t>
  </si>
  <si>
    <t>Reporting into schedules, net annual work hours, capacity, overtime requirements, exceptions, shift-split incidence</t>
  </si>
  <si>
    <t>Need to explore all requirements framing this question</t>
  </si>
  <si>
    <t>Ability to build reports based on schedule data</t>
  </si>
  <si>
    <t>Need to understand scope of reports required.</t>
  </si>
  <si>
    <t>Integration with core HR records and time capture</t>
  </si>
  <si>
    <t>Performance Management</t>
  </si>
  <si>
    <r>
      <rPr>
        <rFont val="Arial"/>
        <b/>
        <color theme="0"/>
        <sz val="11.0"/>
      </rPr>
      <t xml:space="preserve">Mandatory or Desirable
</t>
    </r>
    <r>
      <rPr>
        <rFont val="Arial"/>
        <b val="0"/>
        <color theme="0"/>
        <sz val="11.0"/>
      </rPr>
      <t>(Select an answer from the drop-down options)</t>
    </r>
  </si>
  <si>
    <r>
      <rPr>
        <rFont val="Arial"/>
        <b/>
        <color theme="0"/>
        <sz val="11.0"/>
      </rPr>
      <t xml:space="preserve">Vendor Response </t>
    </r>
    <r>
      <rPr>
        <rFont val="Arial"/>
        <b val="0"/>
        <color theme="0"/>
        <sz val="11.0"/>
      </rPr>
      <t>(Select an answer from the drop-down options)</t>
    </r>
  </si>
  <si>
    <t>Ability for managers and employees to establish date-effective goals and objectives</t>
  </si>
  <si>
    <t>Note: If the HRIS functions as the performance mangement system, all of these are required.</t>
  </si>
  <si>
    <t>Ability for managers to cascade goals based on alignment with departmental or organizational goals</t>
  </si>
  <si>
    <t>Track percentage completion for specific goals and objectives</t>
  </si>
  <si>
    <t>Ability to administer multiple types of performance reviews/appraisals (ranking/grading, 360-reviews, self-review, peer-review)</t>
  </si>
  <si>
    <t>Ability to administer reviews at configurable intervals (e.g. quarterly, annually, ad hoc)</t>
  </si>
  <si>
    <t>Sign-off and acknowledgement capability for both manager and employee</t>
  </si>
  <si>
    <t>Ability to attach documents to a performance review (e.g. emails, communications, notes, etc.)</t>
  </si>
  <si>
    <t>Ability to create, modify, and manage criteria including weights, order, and formatting</t>
  </si>
  <si>
    <t>Provide aggregate performance scores based on weightings and pre-established criteria</t>
  </si>
  <si>
    <t>Track historical performance for an employee, a supervisor's reports, or other hierarchy segmentation</t>
  </si>
  <si>
    <t xml:space="preserve">Provide for detailed and summary performance reporting </t>
  </si>
  <si>
    <t>Identify training and learning opportunities based on performance scores in specific areas</t>
  </si>
  <si>
    <t>Configure workflow associated with performance rating on aggregate and on specific competency areas</t>
  </si>
  <si>
    <t>Provide for the administration and tracking of Performance Improvement or Remediation plans and associated activities</t>
  </si>
  <si>
    <t>Ability to link performance with incentive or compensation plans</t>
  </si>
  <si>
    <t>Talent Acquisition</t>
  </si>
  <si>
    <r>
      <rPr>
        <rFont val="Arial"/>
        <b/>
        <color theme="0"/>
        <sz val="11.0"/>
      </rPr>
      <t xml:space="preserve">Mandatory or Desirable
</t>
    </r>
    <r>
      <rPr>
        <rFont val="Arial"/>
        <b val="0"/>
        <color theme="0"/>
        <sz val="11.0"/>
      </rPr>
      <t>(Select an answer from the drop-down options)</t>
    </r>
  </si>
  <si>
    <r>
      <rPr>
        <rFont val="Arial"/>
        <b/>
        <color theme="0"/>
        <sz val="11.0"/>
      </rPr>
      <t xml:space="preserve">Vendor Response </t>
    </r>
    <r>
      <rPr>
        <rFont val="Arial"/>
        <b val="0"/>
        <color theme="0"/>
        <sz val="11.0"/>
      </rPr>
      <t>(Select an answer from the drop-down options)</t>
    </r>
  </si>
  <si>
    <t>Post requisitions through multiple channels (internally, external portal, job boards)</t>
  </si>
  <si>
    <t>Note: Apollo is working on a job board for all of their companies for an internal job bidding mechanism, but not sure how or when that will be implemented.  If the HRIS functions as the ATS and virtual on boarding, all of these items will be required.</t>
  </si>
  <si>
    <t>Integration with job boards</t>
  </si>
  <si>
    <t>Support for source and channel tracking based on unique requisition identifiers</t>
  </si>
  <si>
    <t>Ability to create pre-qualification questions for posted requisitions</t>
  </si>
  <si>
    <t>Track and maintain historical requisitions and applicant information</t>
  </si>
  <si>
    <t>Maintain applicant information in applicant pools</t>
  </si>
  <si>
    <t>Provide talent acquisition specialists with tools to track the applicant pipeline at different stages (pre-screening, long-list, short-list, offer)</t>
  </si>
  <si>
    <t>Provide activity dashboard screens, showing open jobs, pending offers and scheduled interviews</t>
  </si>
  <si>
    <t>Report on open requisitions with details about time open, applicants screened, interviewed, offers extended</t>
  </si>
  <si>
    <t>Ability to convert successful applicants to employees in the system without re-entering information</t>
  </si>
  <si>
    <t>Seamless integration with onboarding processes</t>
  </si>
  <si>
    <t xml:space="preserve">Ability to attach documents to applications (emails, notes, resumes, forms) </t>
  </si>
  <si>
    <t>Integration with position management for job requirements</t>
  </si>
  <si>
    <t xml:space="preserve">Manage applicant notes within requisitions and client records </t>
  </si>
  <si>
    <t>Ability to initiate communications and scheduling with candidates within the ATS</t>
  </si>
  <si>
    <t>Integration for scheduling and email with Outlook</t>
  </si>
  <si>
    <t>Initiate candidate-related workflows to promote candidacy, solicit additional information, or halt a process</t>
  </si>
  <si>
    <t>Ability to copy requisitions as templates for recurring postings</t>
  </si>
  <si>
    <t>When a position is posted, suggest candidates within candidate pools who fit the requirements (internal search)</t>
  </si>
  <si>
    <t>Note: Applicants can be resurfaced and moved from an inactive job to an active job, and the search function will help with this, but the system cannot "recommend" applicants for a new role.</t>
  </si>
  <si>
    <t>Built-in integration with background verification tools</t>
  </si>
  <si>
    <t>Job portal functionality for an external and internal facing careers page</t>
  </si>
  <si>
    <t>Employee referral capability within the ATS</t>
  </si>
  <si>
    <t>Learning &amp; Development</t>
  </si>
  <si>
    <r>
      <rPr>
        <rFont val="Arial"/>
        <b/>
        <color theme="0"/>
        <sz val="11.0"/>
      </rPr>
      <t xml:space="preserve">Mandatory or Desirable
</t>
    </r>
    <r>
      <rPr>
        <rFont val="Arial"/>
        <b val="0"/>
        <color theme="0"/>
        <sz val="11.0"/>
      </rPr>
      <t>(Select an answer from the drop-down options)</t>
    </r>
  </si>
  <si>
    <r>
      <rPr>
        <rFont val="Arial"/>
        <b/>
        <color theme="0"/>
        <sz val="11.0"/>
      </rPr>
      <t xml:space="preserve">Vendor Response </t>
    </r>
    <r>
      <rPr>
        <rFont val="Arial"/>
        <b val="0"/>
        <color theme="0"/>
        <sz val="11.0"/>
      </rPr>
      <t>(Select an answer from the drop-down options)</t>
    </r>
  </si>
  <si>
    <t>Ability to manage course and class setup including e-Learning and instructor led (time, location, capacity, prerequisites, related classes)</t>
  </si>
  <si>
    <t>Note: if the HRIS functions as the LMS, these will be required.</t>
  </si>
  <si>
    <t>Enable employees to self-enroll in classes</t>
  </si>
  <si>
    <t>Manage multiple registration methods (self-enrollment, manager enrollment, and administrator enrollment)</t>
  </si>
  <si>
    <t>Ability to create and maintain a catalog of courses</t>
  </si>
  <si>
    <t>Configure course catalogs based on job class, level, payband/stratum, and other hierarchical classification</t>
  </si>
  <si>
    <t>Ability to link courses together to create programs and track learner progress against goals</t>
  </si>
  <si>
    <t>Provide content authorship capability to enable course and testing design</t>
  </si>
  <si>
    <t>Provide learning content in a variety of formats (audio, video, interactive)</t>
  </si>
  <si>
    <t>Mobile and web access to learning content, testing, enrollment, and programs</t>
  </si>
  <si>
    <t>Integration with performance management with recommended courses and competency training</t>
  </si>
  <si>
    <t>Ability to track training (ad hoc, recurring, acknowledgement, one-time)</t>
  </si>
  <si>
    <t>Notify managers through alerts or reports that employee training is approaching expiration, expired, or missing</t>
  </si>
  <si>
    <t>Integration with position management for skills development, licenses, and other requirements</t>
  </si>
  <si>
    <t>Broad reporting capability for administrators - tracking completion and performance for individuals, as well as segmented by organizational levels or segmentations</t>
  </si>
  <si>
    <t>Maintain an inventory of skills and competencies and associated learning materials</t>
  </si>
  <si>
    <t>Ability to import content from off-the-shelf authoring tools, and export content for modification</t>
  </si>
  <si>
    <t>Ability to report on content elements, usage, and channel effectiveness</t>
  </si>
  <si>
    <t>Drag-and-drop content creation capability for basic to intermediate content development</t>
  </si>
  <si>
    <t>Development capability for advanced content creation</t>
  </si>
  <si>
    <t>Ability to create adaptive learning based on previous or in-assessment performance</t>
  </si>
  <si>
    <t>Ability to create testing with varying types of grading and scoring criteria</t>
  </si>
  <si>
    <t>Batch tools for registration, scheduling, and removal of employees into and from programs</t>
  </si>
  <si>
    <t>Partnership with content providers and easy import of content</t>
  </si>
  <si>
    <t>Ability to maintain course and learner history (course versions, lifetime enrollment, courses registered and completed, performance by course/program)</t>
  </si>
  <si>
    <t>Compliance with design and development standards for learning content (SCORM, AICC, tin-box, etc.)</t>
  </si>
  <si>
    <t>Onboarding &amp; Offboarding</t>
  </si>
  <si>
    <r>
      <rPr>
        <rFont val="Arial"/>
        <b/>
        <color theme="0"/>
        <sz val="11.0"/>
      </rPr>
      <t xml:space="preserve">Mandatory or Desirable
</t>
    </r>
    <r>
      <rPr>
        <rFont val="Arial"/>
        <b val="0"/>
        <color theme="0"/>
        <sz val="11.0"/>
      </rPr>
      <t>(Select an answer from the drop-down options)</t>
    </r>
  </si>
  <si>
    <r>
      <rPr>
        <rFont val="Arial"/>
        <b/>
        <color theme="0"/>
        <sz val="11.0"/>
      </rPr>
      <t xml:space="preserve">Vendor Response </t>
    </r>
    <r>
      <rPr>
        <rFont val="Arial"/>
        <b val="0"/>
        <color theme="0"/>
        <sz val="11.0"/>
      </rPr>
      <t>(Select an answer from the drop-down options)</t>
    </r>
  </si>
  <si>
    <t>Integration with talent acquisition to action onboarding activities</t>
  </si>
  <si>
    <t>Ability for new hires to complete, sign, and send onboarding documents electronically</t>
  </si>
  <si>
    <t>Note: if functions as virtual onboarding all will be required.</t>
  </si>
  <si>
    <t>Workflow associated with onboarding steps (e.g. actioning asset issuance, badge allocation, health &amp; safety training, etc.)</t>
  </si>
  <si>
    <t>Tracking of onboarding activities and time spent at each stage</t>
  </si>
  <si>
    <t>Reporting on aggregate onboarding to identify bottlenecks, gaps, and manual interventions</t>
  </si>
  <si>
    <t>Integration with background check process, including third-party verification</t>
  </si>
  <si>
    <t>Offboarding capability to ensure employees exiting the organizations go through appropriate steps</t>
  </si>
  <si>
    <t>Exit surveys or questionnaires, and reporting associated with results</t>
  </si>
  <si>
    <t>Ability to indicate an employee's eligibility for rehire upon exit</t>
  </si>
  <si>
    <t>Tracking employee leave type (voluntary, involuntary, death, etc.)</t>
  </si>
  <si>
    <t>Statutory forms and reports associated with employee terminations, including both built-in codes and created ones</t>
  </si>
  <si>
    <t>Succession Planning</t>
  </si>
  <si>
    <r>
      <rPr>
        <rFont val="Arial"/>
        <b/>
        <color theme="0"/>
        <sz val="11.0"/>
      </rPr>
      <t xml:space="preserve">Mandatory or Desirable
</t>
    </r>
    <r>
      <rPr>
        <rFont val="Arial"/>
        <b val="0"/>
        <color theme="0"/>
        <sz val="11.0"/>
      </rPr>
      <t>(Select an answer from the drop-down options)</t>
    </r>
  </si>
  <si>
    <r>
      <rPr>
        <rFont val="Arial"/>
        <b/>
        <color theme="0"/>
        <sz val="11.0"/>
      </rPr>
      <t xml:space="preserve">Vendor Response </t>
    </r>
    <r>
      <rPr>
        <rFont val="Arial"/>
        <b val="0"/>
        <color theme="0"/>
        <sz val="11.0"/>
      </rPr>
      <t>(Select an answer from the drop-down options)</t>
    </r>
  </si>
  <si>
    <t>Manage succession plans for positions at multiple levels (senior leadership and executives, management, critical employees)</t>
  </si>
  <si>
    <t>Maintain succession to multiple levels</t>
  </si>
  <si>
    <t>Define critical roles and critical individuals within the organization</t>
  </si>
  <si>
    <t>Assess flight risk for individuals in critical roles</t>
  </si>
  <si>
    <t>Assess readiness of succession candidates with a configurable degree of detail (high/medium/low, ready-now/ready within a year/ready within 2-3 years, etc.)</t>
  </si>
  <si>
    <t>Define overall position risk based on flight risk of incumbent and readiness of successors (i.e. high risk for positions where the incumbent is at a high flight risk, and successors are not ready)</t>
  </si>
  <si>
    <t>Create action plans for succession candidates</t>
  </si>
  <si>
    <t>Integrate succession plans with performance and learning management to fill readiness gap</t>
  </si>
  <si>
    <t>Generate succession maps in different formats like critical role mapping, organizational chart</t>
  </si>
  <si>
    <t>Create alerts or notifications when an employee in a critical position exits the organization</t>
  </si>
  <si>
    <t>Create alerts or notifications when the successor(s) for an employee in a critical position exits the organization</t>
  </si>
  <si>
    <t>Assess succession depth for critical roles, and suggest redistribution of ready-now talent across the organization</t>
  </si>
  <si>
    <t>Add notes and attachments (emails, awards, recommendations) to succession candidates</t>
  </si>
  <si>
    <t>Maintain high-potential employee list with associated action plans, career paths, and succession potential</t>
  </si>
  <si>
    <t>Compensation Management</t>
  </si>
  <si>
    <r>
      <rPr>
        <rFont val="Arial"/>
        <b/>
        <color theme="0"/>
        <sz val="11.0"/>
      </rPr>
      <t xml:space="preserve">Mandatory or Desirable
</t>
    </r>
    <r>
      <rPr>
        <rFont val="Arial"/>
        <b val="0"/>
        <color theme="0"/>
        <sz val="11.0"/>
      </rPr>
      <t>(Select an answer from the drop-down options)</t>
    </r>
  </si>
  <si>
    <r>
      <rPr>
        <rFont val="Arial"/>
        <b/>
        <color theme="0"/>
        <sz val="11.0"/>
      </rPr>
      <t xml:space="preserve">Vendor Response </t>
    </r>
    <r>
      <rPr>
        <rFont val="Arial"/>
        <b val="0"/>
        <color theme="0"/>
        <sz val="11.0"/>
      </rPr>
      <t>(Select an answer from the drop-down options)</t>
    </r>
  </si>
  <si>
    <t>Integration with position management</t>
  </si>
  <si>
    <t>Indicate paybands, stratum detail, job levels, and location-specific compensation levels for position</t>
  </si>
  <si>
    <t>Visibility into compensation range (low, medium, high)</t>
  </si>
  <si>
    <t>Indicators through alerts or notifications of individuals who have reached or exceeded a job high range or are below a job's low range</t>
  </si>
  <si>
    <t>Predictive indicators about anticipated green- and red-circling</t>
  </si>
  <si>
    <t>Configurable plans for "hot skills" or critical jobs that override regular rules</t>
  </si>
  <si>
    <t>Integration with external benchmarking vendors for titling, salary range, and benefits by location</t>
  </si>
  <si>
    <t>Ability to report on compensation across organizational levels, by paybands, job levels, job types, specific positions, locations, and other specifics</t>
  </si>
  <si>
    <t>Total rewards functionality, including pension, benefits, perks, bonuses, and incentives</t>
  </si>
  <si>
    <t>Would be great for total compensation reporting to employees.</t>
  </si>
  <si>
    <t>Ability to configure workflows associated with increases below/above established ranges, payband promotions</t>
  </si>
  <si>
    <t>Configure role-based security for a compensation manager</t>
  </si>
  <si>
    <t>Job evaluation capability to reassess jobs</t>
  </si>
  <si>
    <t>Maintain compensation-related history for roles</t>
  </si>
  <si>
    <t>Ability to configure short-term, medium-term, long-term, and ad hoc compensation plans for incentives or pay-for-performance</t>
  </si>
  <si>
    <t>Integration with performance management to assess equity</t>
  </si>
  <si>
    <t>Workforce Planning</t>
  </si>
  <si>
    <r>
      <rPr>
        <rFont val="Arial"/>
        <b/>
        <color theme="0"/>
        <sz val="11.0"/>
      </rPr>
      <t xml:space="preserve">Mandatory or Desirable
</t>
    </r>
    <r>
      <rPr>
        <rFont val="Arial"/>
        <b val="0"/>
        <color theme="0"/>
        <sz val="11.0"/>
      </rPr>
      <t>(Select an answer from the drop-down options)</t>
    </r>
  </si>
  <si>
    <r>
      <rPr>
        <rFont val="Arial"/>
        <b/>
        <color theme="0"/>
        <sz val="11.0"/>
      </rPr>
      <t xml:space="preserve">Vendor Response </t>
    </r>
    <r>
      <rPr>
        <rFont val="Arial"/>
        <b val="0"/>
        <color theme="0"/>
        <sz val="11.0"/>
      </rPr>
      <t>(Select an answer from the drop-down options)</t>
    </r>
  </si>
  <si>
    <t>Reporting into overcapacity operation (overtime requirements) and under capacity (underutilization)</t>
  </si>
  <si>
    <t>Impact assessment of banked time-off on future scheduling and planning needs</t>
  </si>
  <si>
    <t>Analysis of attendance data to highlight area of opportunity</t>
  </si>
  <si>
    <t>Benchmarking base service levels to assess the need for staffing requirements</t>
  </si>
  <si>
    <t>Ability to accommodate remote workforce alongside local resources</t>
  </si>
  <si>
    <t>Comparison of overtime requirements based on historical-data and business-need aligned overtime requirements</t>
  </si>
  <si>
    <t>Alerts and notifications to action manager decisions related to workforce (e.g. evaluate leave request based on capacity needs and global leaves)</t>
  </si>
  <si>
    <t>Assess absenteeism against peak, non-peak, and other capacity times/dates</t>
  </si>
  <si>
    <t>Assess the consistency of lieu time and standby protocols across different groups or departments</t>
  </si>
  <si>
    <t>Track and maintain history of attendance management program KPIs, both current and as they correlate with plan</t>
  </si>
  <si>
    <t>List_1</t>
  </si>
  <si>
    <t>List_2</t>
  </si>
  <si>
    <t>Would like (but won't have)</t>
  </si>
  <si>
    <t>N/A</t>
  </si>
  <si>
    <t>List_3</t>
  </si>
  <si>
    <t>Configuration</t>
  </si>
  <si>
    <t>Customization</t>
  </si>
  <si>
    <t>Not Applicable</t>
  </si>
  <si>
    <t>List_4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</si>
</sst>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quot;$&quot;* #,##0.00_);_(&quot;$&quot;* \(#,##0.00\);_(&quot;$&quot;* &quot;-&quot;??_);_(@_)"/>
  </numFmts>
  <fonts count="12">
    <font>
      <sz val="11.0"/>
      <color theme="1"/>
      <name val="Calibri"/>
      <scheme val="minor"/>
    </font>
    <font>
      <sz val="11.0"/>
      <color theme="1"/>
      <name val="Calibri"/>
    </font>
    <font>
      <b/>
      <sz val="11.0"/>
      <color theme="1"/>
      <name val="Calibri"/>
    </font>
    <font/>
    <font>
      <sz val="11.0"/>
      <color theme="1"/>
      <name val="Arial"/>
    </font>
    <font>
      <b/>
      <sz val="18.0"/>
      <color theme="0"/>
      <name val="Arial"/>
    </font>
    <font>
      <b/>
      <sz val="18.0"/>
      <color theme="1"/>
      <name val="Arial"/>
    </font>
    <font>
      <b/>
      <sz val="11.0"/>
      <color theme="0"/>
      <name val="Arial"/>
    </font>
    <font>
      <sz val="11.0"/>
      <color theme="0"/>
      <name val="Arial"/>
    </font>
    <font>
      <sz val="11.0"/>
      <color rgb="FFFFFFFF"/>
      <name val="Arial"/>
    </font>
    <font>
      <b/>
      <sz val="11.0"/>
      <color theme="1"/>
      <name val="Arial"/>
    </font>
    <font>
      <color theme="1"/>
      <name val="Calibri"/>
      <scheme val="minor"/>
    </font>
  </fonts>
  <fills count="11">
    <fill>
      <patternFill patternType="none"/>
    </fill>
    <fill>
      <patternFill patternType="lightGray"/>
    </fill>
    <fill>
      <patternFill patternType="solid">
        <fgColor rgb="FFBFBFBF"/>
        <bgColor rgb="FFBFBFBF"/>
      </patternFill>
    </fill>
    <fill>
      <patternFill patternType="solid">
        <fgColor rgb="FF6293BB"/>
        <bgColor rgb="FF6293BB"/>
      </patternFill>
    </fill>
    <fill>
      <patternFill patternType="solid">
        <fgColor rgb="FF29475F"/>
        <bgColor rgb="FF29475F"/>
      </patternFill>
    </fill>
    <fill>
      <patternFill patternType="solid">
        <fgColor theme="0"/>
        <bgColor theme="0"/>
      </patternFill>
    </fill>
    <fill>
      <patternFill patternType="solid">
        <fgColor rgb="FFCADAE8"/>
        <bgColor rgb="FFCADAE8"/>
      </patternFill>
    </fill>
    <fill>
      <patternFill patternType="solid">
        <fgColor rgb="FFD6D6D6"/>
        <bgColor rgb="FFD6D6D6"/>
      </patternFill>
    </fill>
    <fill>
      <patternFill patternType="solid">
        <fgColor rgb="FFFFFF00"/>
        <bgColor rgb="FFFFFF00"/>
      </patternFill>
    </fill>
    <fill>
      <patternFill patternType="solid">
        <fgColor theme="9"/>
        <bgColor theme="9"/>
      </patternFill>
    </fill>
    <fill>
      <patternFill patternType="solid">
        <fgColor rgb="FFFFFFFF"/>
        <bgColor rgb="FFFFFFFF"/>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top style="thick">
        <color theme="0"/>
      </top>
      <bottom style="thick">
        <color theme="0"/>
      </bottom>
    </border>
    <border>
      <right style="thick">
        <color theme="0"/>
      </right>
      <top style="thick">
        <color theme="0"/>
      </top>
      <bottom style="thick">
        <color theme="0"/>
      </bottom>
    </border>
    <border>
      <left/>
      <right/>
      <top/>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style="thick">
        <color theme="0"/>
      </right>
      <top style="thick">
        <color theme="0"/>
      </top>
      <bottom style="thick">
        <color theme="0"/>
      </bottom>
    </border>
    <border>
      <left style="thick">
        <color theme="0"/>
      </left>
      <right style="thick">
        <color theme="0"/>
      </right>
      <top style="thick">
        <color theme="0"/>
      </top>
      <bottom style="thick">
        <color theme="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Font="1"/>
    <xf borderId="1" fillId="0" fontId="1" numFmtId="0" xfId="0" applyBorder="1" applyFont="1"/>
    <xf borderId="1" fillId="0" fontId="2" numFmtId="0" xfId="0" applyAlignment="1" applyBorder="1" applyFont="1">
      <alignment horizontal="center" shrinkToFit="0" wrapText="1"/>
    </xf>
    <xf borderId="2" fillId="0" fontId="2" numFmtId="0" xfId="0" applyAlignment="1" applyBorder="1" applyFont="1">
      <alignment horizontal="center" vertical="center"/>
    </xf>
    <xf borderId="3" fillId="0" fontId="3" numFmtId="0" xfId="0" applyBorder="1" applyFont="1"/>
    <xf borderId="1" fillId="2" fontId="1" numFmtId="0" xfId="0" applyBorder="1" applyFill="1" applyFont="1"/>
    <xf borderId="2" fillId="0" fontId="2" numFmtId="0" xfId="0" applyAlignment="1" applyBorder="1" applyFont="1">
      <alignment horizontal="center" shrinkToFit="0" vertical="center" wrapText="1"/>
    </xf>
    <xf borderId="0" fillId="0" fontId="2" numFmtId="0" xfId="0" applyFont="1"/>
    <xf borderId="0" fillId="0" fontId="1" numFmtId="0" xfId="0" applyAlignment="1" applyFont="1">
      <alignment shrinkToFit="0" wrapText="1"/>
    </xf>
    <xf borderId="1" fillId="0" fontId="2" numFmtId="0" xfId="0" applyAlignment="1" applyBorder="1" applyFont="1">
      <alignment horizontal="center" shrinkToFit="0" vertical="center" wrapText="1"/>
    </xf>
    <xf borderId="1" fillId="0" fontId="1" numFmtId="0" xfId="0" applyAlignment="1" applyBorder="1" applyFont="1">
      <alignment horizontal="center"/>
    </xf>
    <xf borderId="0" fillId="0" fontId="4" numFmtId="0" xfId="0" applyAlignment="1" applyFont="1">
      <alignment shrinkToFit="0" wrapText="1"/>
    </xf>
    <xf borderId="2" fillId="3" fontId="5" numFmtId="0" xfId="0" applyAlignment="1" applyBorder="1" applyFill="1" applyFont="1">
      <alignment horizontal="left" shrinkToFit="0" vertical="center" wrapText="1"/>
    </xf>
    <xf borderId="4" fillId="0" fontId="3" numFmtId="0" xfId="0" applyBorder="1" applyFont="1"/>
    <xf borderId="0" fillId="0" fontId="6" numFmtId="0" xfId="0" applyAlignment="1" applyFont="1">
      <alignment shrinkToFit="0" vertical="center" wrapText="1"/>
    </xf>
    <xf borderId="5" fillId="4" fontId="7" numFmtId="0" xfId="0" applyAlignment="1" applyBorder="1" applyFill="1" applyFont="1">
      <alignment horizontal="center" shrinkToFit="0" vertical="center" wrapText="1"/>
    </xf>
    <xf borderId="6" fillId="0" fontId="3" numFmtId="0" xfId="0" applyBorder="1" applyFont="1"/>
    <xf borderId="7" fillId="4" fontId="7" numFmtId="0" xfId="0" applyAlignment="1" applyBorder="1" applyFont="1">
      <alignment horizontal="center" shrinkToFit="0" vertical="center" wrapText="1"/>
    </xf>
    <xf borderId="8" fillId="5" fontId="7" numFmtId="0" xfId="0" applyAlignment="1" applyBorder="1" applyFill="1" applyFont="1">
      <alignment horizontal="center" shrinkToFit="0" vertical="center" wrapText="1"/>
    </xf>
    <xf borderId="9" fillId="0" fontId="3" numFmtId="0" xfId="0" applyBorder="1" applyFont="1"/>
    <xf borderId="10" fillId="5" fontId="4" numFmtId="0" xfId="0" applyAlignment="1" applyBorder="1" applyFont="1">
      <alignment shrinkToFit="0" wrapText="1"/>
    </xf>
    <xf borderId="11" fillId="0" fontId="3" numFmtId="0" xfId="0" applyBorder="1" applyFont="1"/>
    <xf borderId="12" fillId="0" fontId="3" numFmtId="0" xfId="0" applyBorder="1" applyFont="1"/>
    <xf borderId="13" fillId="0" fontId="3" numFmtId="0" xfId="0" applyBorder="1" applyFont="1"/>
    <xf borderId="14" fillId="5" fontId="7" numFmtId="0" xfId="0" applyAlignment="1" applyBorder="1" applyFont="1">
      <alignment shrinkToFit="0" vertical="center" wrapText="1"/>
    </xf>
    <xf borderId="15" fillId="5" fontId="7" numFmtId="0" xfId="0" applyAlignment="1" applyBorder="1" applyFont="1">
      <alignment shrinkToFit="0" vertical="center" wrapText="1"/>
    </xf>
    <xf borderId="0" fillId="0" fontId="4" numFmtId="0" xfId="0" applyAlignment="1" applyFont="1">
      <alignment shrinkToFit="0" vertical="center" wrapText="1"/>
    </xf>
    <xf borderId="1" fillId="3" fontId="8" numFmtId="0" xfId="0" applyAlignment="1" applyBorder="1" applyFont="1">
      <alignment horizontal="center" shrinkToFit="0" vertical="center" wrapText="1"/>
    </xf>
    <xf borderId="1" fillId="3" fontId="9" numFmtId="0" xfId="0" applyAlignment="1" applyBorder="1" applyFont="1">
      <alignment readingOrder="0" shrinkToFit="0" vertical="center" wrapText="1"/>
    </xf>
    <xf borderId="1" fillId="6" fontId="4" numFmtId="0" xfId="0" applyAlignment="1" applyBorder="1" applyFill="1" applyFont="1">
      <alignment shrinkToFit="0" vertical="center" wrapText="1"/>
    </xf>
    <xf borderId="1" fillId="7" fontId="4" numFmtId="0" xfId="0" applyAlignment="1" applyBorder="1" applyFill="1" applyFont="1">
      <alignment readingOrder="0" shrinkToFit="0" vertical="center" wrapText="1"/>
    </xf>
    <xf borderId="1" fillId="5" fontId="4" numFmtId="0" xfId="0" applyAlignment="1" applyBorder="1" applyFont="1">
      <alignment shrinkToFit="0" vertical="center" wrapText="1"/>
    </xf>
    <xf borderId="14" fillId="5" fontId="4" numFmtId="0" xfId="0" applyAlignment="1" applyBorder="1" applyFont="1">
      <alignment shrinkToFit="0" vertical="center" wrapText="1"/>
    </xf>
    <xf borderId="15" fillId="5" fontId="4" numFmtId="164" xfId="0" applyAlignment="1" applyBorder="1" applyFont="1" applyNumberFormat="1">
      <alignment shrinkToFit="0" vertical="center" wrapText="1"/>
    </xf>
    <xf borderId="10" fillId="5" fontId="4" numFmtId="0" xfId="0" applyAlignment="1" applyBorder="1" applyFont="1">
      <alignment shrinkToFit="0" vertical="center" wrapText="1"/>
    </xf>
    <xf borderId="1" fillId="3" fontId="8" numFmtId="0" xfId="0" applyAlignment="1" applyBorder="1" applyFont="1">
      <alignment shrinkToFit="0" vertical="center" wrapText="1"/>
    </xf>
    <xf borderId="1" fillId="7" fontId="4" numFmtId="0" xfId="0" applyAlignment="1" applyBorder="1" applyFont="1">
      <alignment shrinkToFit="0" vertical="center" wrapText="1"/>
    </xf>
    <xf borderId="1" fillId="3" fontId="9" numFmtId="0" xfId="0" applyAlignment="1" applyBorder="1" applyFont="1">
      <alignment horizontal="left" readingOrder="0" shrinkToFit="0" vertical="center" wrapText="1"/>
    </xf>
    <xf borderId="1" fillId="8" fontId="4" numFmtId="0" xfId="0" applyAlignment="1" applyBorder="1" applyFill="1" applyFont="1">
      <alignment shrinkToFit="0" vertical="center" wrapText="1"/>
    </xf>
    <xf borderId="1" fillId="3" fontId="8" numFmtId="0" xfId="0" applyAlignment="1" applyBorder="1" applyFont="1">
      <alignment horizontal="left" shrinkToFit="0" vertical="center" wrapText="1"/>
    </xf>
    <xf borderId="2" fillId="9" fontId="10" numFmtId="0" xfId="0" applyAlignment="1" applyBorder="1" applyFill="1" applyFont="1">
      <alignment horizontal="right" shrinkToFit="0" vertical="center" wrapText="1"/>
    </xf>
    <xf borderId="2" fillId="4" fontId="7" numFmtId="0" xfId="0" applyAlignment="1" applyBorder="1" applyFont="1">
      <alignment horizontal="center" shrinkToFit="0" vertical="center" wrapText="1"/>
    </xf>
    <xf borderId="1" fillId="4" fontId="7" numFmtId="0" xfId="0" applyAlignment="1" applyBorder="1" applyFont="1">
      <alignment horizontal="center" shrinkToFit="0" vertical="center" wrapText="1"/>
    </xf>
    <xf borderId="7" fillId="0" fontId="7" numFmtId="0" xfId="0" applyAlignment="1" applyBorder="1" applyFont="1">
      <alignment horizontal="center" shrinkToFit="0" vertical="center" wrapText="1"/>
    </xf>
    <xf borderId="1" fillId="0" fontId="4" numFmtId="0" xfId="0" applyAlignment="1" applyBorder="1" applyFont="1">
      <alignment shrinkToFit="0" vertical="center" wrapText="1"/>
    </xf>
    <xf borderId="1" fillId="0" fontId="4" numFmtId="0" xfId="0" applyAlignment="1" applyBorder="1" applyFont="1">
      <alignment readingOrder="0" shrinkToFit="0" vertical="center" wrapText="1"/>
    </xf>
    <xf borderId="1" fillId="0" fontId="7" numFmtId="0" xfId="0" applyAlignment="1" applyBorder="1" applyFont="1">
      <alignment horizontal="center" shrinkToFit="0" vertical="center" wrapText="1"/>
    </xf>
    <xf borderId="1" fillId="10" fontId="4" numFmtId="0" xfId="0" applyAlignment="1" applyBorder="1" applyFill="1" applyFont="1">
      <alignment shrinkToFit="0" vertical="center" wrapText="1"/>
    </xf>
    <xf borderId="1" fillId="5" fontId="4" numFmtId="0" xfId="0" applyAlignment="1" applyBorder="1" applyFont="1">
      <alignment readingOrder="0" shrinkToFit="0" vertical="center" wrapText="1"/>
    </xf>
    <xf borderId="0" fillId="0" fontId="11" numFmtId="0" xfId="0" applyFont="1"/>
  </cellXfs>
  <cellStyles count="1">
    <cellStyle xfId="0" name="Normal" builtinId="0"/>
  </cellStyles>
  <dxfs count="5">
    <dxf>
      <font>
        <i/>
      </font>
      <fill>
        <patternFill patternType="solid">
          <fgColor rgb="FF71B12D"/>
          <bgColor rgb="FF71B12D"/>
        </patternFill>
      </fill>
      <border/>
    </dxf>
    <dxf>
      <font/>
      <fill>
        <patternFill patternType="solid">
          <fgColor rgb="FFFFB540"/>
          <bgColor rgb="FFFFB540"/>
        </patternFill>
      </fill>
      <border/>
    </dxf>
    <dxf>
      <font/>
      <fill>
        <patternFill patternType="solid">
          <fgColor rgb="FF3391AD"/>
          <bgColor rgb="FF3391AD"/>
        </patternFill>
      </fill>
      <border/>
    </dxf>
    <dxf>
      <font/>
      <fill>
        <patternFill patternType="solid">
          <fgColor rgb="FFA24130"/>
          <bgColor rgb="FFA24130"/>
        </patternFill>
      </fill>
      <border/>
    </dxf>
    <dxf>
      <font/>
      <fill>
        <patternFill patternType="solid">
          <fgColor rgb="FF71B12D"/>
          <bgColor rgb="FF71B12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Sample Title</a:t>
            </a:r>
          </a:p>
        </c:rich>
      </c:tx>
      <c:overlay val="0"/>
    </c:title>
    <c:plotArea>
      <c:layout>
        <c:manualLayout>
          <c:xMode val="edge"/>
          <c:yMode val="edge"/>
          <c:x val="0.07067296299686862"/>
          <c:y val="0.12592736680989117"/>
          <c:w val="0.6517620386023578"/>
          <c:h val="0.7896386034061215"/>
        </c:manualLayout>
      </c:layout>
      <c:scatterChart>
        <c:scatterStyle val="lineMarker"/>
        <c:varyColors val="0"/>
        <c:ser>
          <c:idx val="0"/>
          <c:order val="0"/>
          <c:tx>
            <c:v>TOP RIGHT</c:v>
          </c:tx>
          <c:spPr>
            <a:ln>
              <a:noFill/>
            </a:ln>
          </c:spPr>
          <c:marker>
            <c:symbol val="circle"/>
            <c:size val="7"/>
            <c:spPr>
              <a:solidFill>
                <a:schemeClr val="accent6"/>
              </a:solidFill>
              <a:ln cmpd="sng">
                <a:solidFill>
                  <a:schemeClr val="accent6"/>
                </a:solidFill>
              </a:ln>
            </c:spPr>
          </c:marker>
          <c:dPt>
            <c:idx val="4"/>
            <c:marker>
              <c:symbol val="none"/>
            </c:marker>
          </c:dPt>
          <c:dPt>
            <c:idx val="6"/>
            <c:marker>
              <c:symbol val="none"/>
            </c:marker>
          </c:dPt>
          <c:dPt>
            <c:idx val="8"/>
            <c:marker>
              <c:symbol val="none"/>
            </c:marker>
          </c:dPt>
          <c:dPt>
            <c:idx val="9"/>
            <c:marker>
              <c:symbol val="none"/>
            </c:marker>
          </c:dPt>
          <c:dPt>
            <c:idx val="13"/>
            <c:marker>
              <c:symbol val="none"/>
            </c:marker>
          </c:dPt>
          <c:dPt>
            <c:idx val="19"/>
            <c:marker>
              <c:symbol val="none"/>
            </c:marker>
          </c:dPt>
          <c:dPt>
            <c:idx val="21"/>
            <c:marker>
              <c:symbol val="none"/>
            </c:marker>
          </c:dPt>
          <c:dPt>
            <c:idx val="24"/>
            <c:marker>
              <c:symbol val="none"/>
            </c:marker>
          </c:dPt>
          <c:dPt>
            <c:idx val="25"/>
            <c:marker>
              <c:symbol val="none"/>
            </c:marker>
          </c:dPt>
          <c:dPt>
            <c:idx val="27"/>
            <c:marker>
              <c:symbol val="none"/>
            </c:marker>
          </c:dPt>
          <c:dPt>
            <c:idx val="29"/>
            <c:marker>
              <c:symbol val="none"/>
            </c:marker>
          </c:dPt>
          <c:dPt>
            <c:idx val="40"/>
            <c:marker>
              <c:symbol val="none"/>
            </c:marker>
          </c:dPt>
          <c:dPt>
            <c:idx val="49"/>
            <c:marker>
              <c:symbol val="none"/>
            </c:marker>
          </c:dPt>
          <c:xVal>
            <c:numRef>
              <c:f>'2x2 Grid Output'!$H$18:$H$67</c:f>
            </c:numRef>
          </c:xVal>
          <c:yVal>
            <c:numRef>
              <c:f>'2x2 Grid Output'!$I$18:$I$67</c:f>
              <c:numCache/>
            </c:numRef>
          </c:yVal>
        </c:ser>
        <c:dLbls>
          <c:showLegendKey val="0"/>
          <c:showVal val="0"/>
          <c:showCatName val="0"/>
          <c:showSerName val="0"/>
          <c:showPercent val="0"/>
          <c:showBubbleSize val="0"/>
        </c:dLbls>
        <c:axId val="261750709"/>
        <c:axId val="1137581891"/>
      </c:scatterChart>
      <c:valAx>
        <c:axId val="261750709"/>
        <c:scaling>
          <c:orientation val="minMax"/>
          <c:max val="8.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137581891"/>
      </c:valAx>
      <c:valAx>
        <c:axId val="1137581891"/>
        <c:scaling>
          <c:orientation val="minMax"/>
          <c:max val="6.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261750709"/>
      </c:valAx>
    </c:plotArea>
    <c:legend>
      <c:legendPos val="r"/>
      <c:layout>
        <c:manualLayout>
          <c:xMode val="edge"/>
          <c:yMode val="edge"/>
          <c:x val="0.7801947242756643"/>
          <c:y val="0.4696251738791304"/>
        </c:manualLayout>
      </c:layout>
      <c:overlay val="0"/>
      <c:txPr>
        <a:bodyPr/>
        <a:lstStyle/>
        <a:p>
          <a:pPr lvl="0">
            <a:defRPr b="0" i="0" sz="900">
              <a:solidFill>
                <a:srgbClr val="1A1A1A"/>
              </a:solidFill>
              <a:latin typeface="+mn-lt"/>
            </a:defRPr>
          </a:pPr>
        </a:p>
      </c:txPr>
    </c:legend>
    <c:plotVisOnly val="0"/>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361950</xdr:colOff>
      <xdr:row>16</xdr:row>
      <xdr:rowOff>38100</xdr:rowOff>
    </xdr:from>
    <xdr:ext cx="6505575" cy="4095750"/>
    <xdr:graphicFrame>
      <xdr:nvGraphicFramePr>
        <xdr:cNvPr id="712460315"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133350</xdr:colOff>
      <xdr:row>6</xdr:row>
      <xdr:rowOff>114300</xdr:rowOff>
    </xdr:from>
    <xdr:ext cx="10858500" cy="533400"/>
    <xdr:sp>
      <xdr:nvSpPr>
        <xdr:cNvPr id="3" name="Shape 3"/>
        <xdr:cNvSpPr txBox="1"/>
      </xdr:nvSpPr>
      <xdr:spPr>
        <a:xfrm>
          <a:off x="0" y="3518063"/>
          <a:ext cx="10692000" cy="523875"/>
        </a:xfrm>
        <a:prstGeom prst="rect">
          <a:avLst/>
        </a:prstGeom>
        <a:solidFill>
          <a:srgbClr val="EAEAE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dk1"/>
              </a:solidFill>
              <a:latin typeface="Calibri"/>
              <a:ea typeface="Calibri"/>
              <a:cs typeface="Calibri"/>
              <a:sym typeface="Calibri"/>
            </a:rPr>
            <a:t>These values represent the</a:t>
          </a:r>
          <a:r>
            <a:rPr lang="en-US" sz="1100">
              <a:solidFill>
                <a:schemeClr val="dk1"/>
              </a:solidFill>
              <a:latin typeface="Calibri"/>
              <a:ea typeface="Calibri"/>
              <a:cs typeface="Calibri"/>
              <a:sym typeface="Calibri"/>
            </a:rPr>
            <a:t> maximum and minimum values on each axis</a:t>
          </a:r>
          <a:endParaRPr sz="1100"/>
        </a:p>
      </xdr:txBody>
    </xdr:sp>
    <xdr:clientData fLocksWithSheet="0"/>
  </xdr:oneCellAnchor>
  <xdr:oneCellAnchor>
    <xdr:from>
      <xdr:col>2</xdr:col>
      <xdr:colOff>533400</xdr:colOff>
      <xdr:row>5</xdr:row>
      <xdr:rowOff>19050</xdr:rowOff>
    </xdr:from>
    <xdr:ext cx="38100" cy="304800"/>
    <xdr:grpSp>
      <xdr:nvGrpSpPr>
        <xdr:cNvPr id="2" name="Shape 2"/>
        <xdr:cNvGrpSpPr/>
      </xdr:nvGrpSpPr>
      <xdr:grpSpPr>
        <a:xfrm>
          <a:off x="5336475" y="3627600"/>
          <a:ext cx="19200" cy="304800"/>
          <a:chOff x="5336475" y="3627600"/>
          <a:chExt cx="19200" cy="304800"/>
        </a:xfrm>
      </xdr:grpSpPr>
      <xdr:cxnSp>
        <xdr:nvCxnSpPr>
          <xdr:cNvPr id="4" name="Shape 4"/>
          <xdr:cNvCxnSpPr>
            <a:stCxn id="3" idx="0"/>
          </xdr:cNvCxnSpPr>
        </xdr:nvCxnSpPr>
        <xdr:spPr>
          <a:xfrm flipH="1" rot="10800000">
            <a:off x="5336475" y="3627600"/>
            <a:ext cx="19200" cy="304800"/>
          </a:xfrm>
          <a:prstGeom prst="straightConnector1">
            <a:avLst/>
          </a:prstGeom>
          <a:noFill/>
          <a:ln cap="flat" cmpd="sng" w="9525">
            <a:solidFill>
              <a:schemeClr val="dk1"/>
            </a:solidFill>
            <a:prstDash val="solid"/>
            <a:round/>
            <a:headEnd len="sm" w="sm" type="none"/>
            <a:tailEnd len="med" w="med" type="triangle"/>
          </a:ln>
        </xdr:spPr>
      </xdr:cxnSp>
    </xdr:grpSp>
    <xdr:clientData fLocksWithSheet="0"/>
  </xdr:oneCellAnchor>
  <xdr:oneCellAnchor>
    <xdr:from>
      <xdr:col>22</xdr:col>
      <xdr:colOff>485775</xdr:colOff>
      <xdr:row>8</xdr:row>
      <xdr:rowOff>133350</xdr:rowOff>
    </xdr:from>
    <xdr:ext cx="2847975" cy="666750"/>
    <xdr:sp>
      <xdr:nvSpPr>
        <xdr:cNvPr id="5" name="Shape 5"/>
        <xdr:cNvSpPr txBox="1"/>
      </xdr:nvSpPr>
      <xdr:spPr>
        <a:xfrm>
          <a:off x="3926775" y="3451388"/>
          <a:ext cx="2838450" cy="657225"/>
        </a:xfrm>
        <a:prstGeom prst="rect">
          <a:avLst/>
        </a:prstGeom>
        <a:solidFill>
          <a:srgbClr val="EAEAE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dk1"/>
              </a:solidFill>
              <a:latin typeface="Calibri"/>
              <a:ea typeface="Calibri"/>
              <a:cs typeface="Calibri"/>
              <a:sym typeface="Calibri"/>
            </a:rPr>
            <a:t>Link these</a:t>
          </a:r>
          <a:r>
            <a:rPr lang="en-US" sz="1100">
              <a:solidFill>
                <a:schemeClr val="dk1"/>
              </a:solidFill>
              <a:latin typeface="Calibri"/>
              <a:ea typeface="Calibri"/>
              <a:cs typeface="Calibri"/>
              <a:sym typeface="Calibri"/>
            </a:rPr>
            <a:t> cells to your raw scores to ensure the graphic will dynamically respond to different responses</a:t>
          </a:r>
          <a:endParaRPr sz="1100"/>
        </a:p>
      </xdr:txBody>
    </xdr:sp>
    <xdr:clientData fLocksWithSheet="0"/>
  </xdr:oneCellAnchor>
  <xdr:oneCellAnchor>
    <xdr:from>
      <xdr:col>3</xdr:col>
      <xdr:colOff>19050</xdr:colOff>
      <xdr:row>12</xdr:row>
      <xdr:rowOff>9525</xdr:rowOff>
    </xdr:from>
    <xdr:ext cx="9810750" cy="933450"/>
    <xdr:grpSp>
      <xdr:nvGrpSpPr>
        <xdr:cNvPr id="2" name="Shape 2"/>
        <xdr:cNvGrpSpPr/>
      </xdr:nvGrpSpPr>
      <xdr:grpSpPr>
        <a:xfrm>
          <a:off x="440625" y="3313275"/>
          <a:ext cx="9810750" cy="933450"/>
          <a:chOff x="440625" y="3313275"/>
          <a:chExt cx="9810750" cy="933450"/>
        </a:xfrm>
      </xdr:grpSpPr>
      <xdr:cxnSp>
        <xdr:nvCxnSpPr>
          <xdr:cNvPr id="6" name="Shape 6"/>
          <xdr:cNvCxnSpPr/>
        </xdr:nvCxnSpPr>
        <xdr:spPr>
          <a:xfrm flipH="1">
            <a:off x="440625" y="3313275"/>
            <a:ext cx="9810750" cy="933450"/>
          </a:xfrm>
          <a:prstGeom prst="straightConnector1">
            <a:avLst/>
          </a:prstGeom>
          <a:noFill/>
          <a:ln cap="flat" cmpd="sng" w="9525">
            <a:solidFill>
              <a:schemeClr val="dk1"/>
            </a:solidFill>
            <a:prstDash val="solid"/>
            <a:round/>
            <a:headEnd len="sm" w="sm" type="none"/>
            <a:tailEnd len="med" w="med" type="triangle"/>
          </a:ln>
        </xdr:spPr>
      </xdr:cxnSp>
    </xdr:grpSp>
    <xdr:clientData fLocksWithSheet="0"/>
  </xdr:oneCellAnchor>
  <xdr:oneCellAnchor>
    <xdr:from>
      <xdr:col>1</xdr:col>
      <xdr:colOff>95250</xdr:colOff>
      <xdr:row>9</xdr:row>
      <xdr:rowOff>114300</xdr:rowOff>
    </xdr:from>
    <xdr:ext cx="10858500" cy="600075"/>
    <xdr:sp>
      <xdr:nvSpPr>
        <xdr:cNvPr id="7" name="Shape 7"/>
        <xdr:cNvSpPr txBox="1"/>
      </xdr:nvSpPr>
      <xdr:spPr>
        <a:xfrm>
          <a:off x="0" y="3484725"/>
          <a:ext cx="10692000" cy="590550"/>
        </a:xfrm>
        <a:prstGeom prst="rect">
          <a:avLst/>
        </a:prstGeom>
        <a:solidFill>
          <a:srgbClr val="EAEAE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dk1"/>
              </a:solidFill>
              <a:latin typeface="Calibri"/>
              <a:ea typeface="Calibri"/>
              <a:cs typeface="Calibri"/>
              <a:sym typeface="Calibri"/>
            </a:rPr>
            <a:t>These values will appear on the matrix</a:t>
          </a:r>
          <a:r>
            <a:rPr lang="en-US" sz="1100">
              <a:solidFill>
                <a:schemeClr val="dk1"/>
              </a:solidFill>
              <a:latin typeface="Calibri"/>
              <a:ea typeface="Calibri"/>
              <a:cs typeface="Calibri"/>
              <a:sym typeface="Calibri"/>
            </a:rPr>
            <a:t> next to the data point</a:t>
          </a:r>
          <a:endParaRPr sz="1100"/>
        </a:p>
      </xdr:txBody>
    </xdr:sp>
    <xdr:clientData fLocksWithSheet="0"/>
  </xdr:oneCellAnchor>
  <xdr:oneCellAnchor>
    <xdr:from>
      <xdr:col>1</xdr:col>
      <xdr:colOff>542925</xdr:colOff>
      <xdr:row>12</xdr:row>
      <xdr:rowOff>123825</xdr:rowOff>
    </xdr:from>
    <xdr:ext cx="28575" cy="838200"/>
    <xdr:grpSp>
      <xdr:nvGrpSpPr>
        <xdr:cNvPr id="2" name="Shape 2"/>
        <xdr:cNvGrpSpPr/>
      </xdr:nvGrpSpPr>
      <xdr:grpSpPr>
        <a:xfrm>
          <a:off x="5331713" y="3360900"/>
          <a:ext cx="28575" cy="838200"/>
          <a:chOff x="5331713" y="3360900"/>
          <a:chExt cx="28575" cy="838200"/>
        </a:xfrm>
      </xdr:grpSpPr>
      <xdr:cxnSp>
        <xdr:nvCxnSpPr>
          <xdr:cNvPr id="8" name="Shape 8"/>
          <xdr:cNvCxnSpPr/>
        </xdr:nvCxnSpPr>
        <xdr:spPr>
          <a:xfrm flipH="1">
            <a:off x="5331713" y="3360900"/>
            <a:ext cx="28575" cy="838200"/>
          </a:xfrm>
          <a:prstGeom prst="straightConnector1">
            <a:avLst/>
          </a:prstGeom>
          <a:noFill/>
          <a:ln cap="flat" cmpd="sng" w="9525">
            <a:solidFill>
              <a:schemeClr val="dk1"/>
            </a:solidFill>
            <a:prstDash val="solid"/>
            <a:round/>
            <a:headEnd len="sm" w="sm" type="none"/>
            <a:tailEnd len="med" w="med" type="triangle"/>
          </a:ln>
        </xdr:spPr>
      </xdr:cxnSp>
    </xdr:grpSp>
    <xdr:clientData fLocksWithSheet="0"/>
  </xdr:oneCellAnchor>
  <xdr:oneCellAnchor>
    <xdr:from>
      <xdr:col>1</xdr:col>
      <xdr:colOff>0</xdr:colOff>
      <xdr:row>69</xdr:row>
      <xdr:rowOff>66675</xdr:rowOff>
    </xdr:from>
    <xdr:ext cx="1866900" cy="1676400"/>
    <xdr:sp>
      <xdr:nvSpPr>
        <xdr:cNvPr id="9" name="Shape 9"/>
        <xdr:cNvSpPr txBox="1"/>
      </xdr:nvSpPr>
      <xdr:spPr>
        <a:xfrm>
          <a:off x="4412550" y="2941800"/>
          <a:ext cx="1866900" cy="1676400"/>
        </a:xfrm>
        <a:prstGeom prst="rect">
          <a:avLst/>
        </a:prstGeom>
        <a:solidFill>
          <a:srgbClr val="EAEAE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dk1"/>
              </a:solidFill>
              <a:latin typeface="Calibri"/>
              <a:ea typeface="Calibri"/>
              <a:cs typeface="Calibri"/>
              <a:sym typeface="Calibri"/>
            </a:rPr>
            <a:t>This</a:t>
          </a:r>
          <a:r>
            <a:rPr lang="en-US" sz="1100">
              <a:solidFill>
                <a:schemeClr val="dk1"/>
              </a:solidFill>
              <a:latin typeface="Calibri"/>
              <a:ea typeface="Calibri"/>
              <a:cs typeface="Calibri"/>
              <a:sym typeface="Calibri"/>
            </a:rPr>
            <a:t> template is flexible and can plot up to 50 data points, however if there are 50 data points it is highly likely that the points will be clustered and the chart will be illegible. Consider grouping points together or making multiple charts.</a:t>
          </a:r>
          <a:endParaRPr sz="1100"/>
        </a:p>
      </xdr:txBody>
    </xdr:sp>
    <xdr:clientData fLocksWithSheet="0"/>
  </xdr:oneCellAnchor>
  <xdr:oneCellAnchor>
    <xdr:from>
      <xdr:col>1</xdr:col>
      <xdr:colOff>742950</xdr:colOff>
      <xdr:row>67</xdr:row>
      <xdr:rowOff>9525</xdr:rowOff>
    </xdr:from>
    <xdr:ext cx="200025" cy="457200"/>
    <xdr:grpSp>
      <xdr:nvGrpSpPr>
        <xdr:cNvPr id="2" name="Shape 2"/>
        <xdr:cNvGrpSpPr/>
      </xdr:nvGrpSpPr>
      <xdr:grpSpPr>
        <a:xfrm>
          <a:off x="5250750" y="3551400"/>
          <a:ext cx="190500" cy="457200"/>
          <a:chOff x="5250750" y="3551400"/>
          <a:chExt cx="190500" cy="457200"/>
        </a:xfrm>
      </xdr:grpSpPr>
      <xdr:cxnSp>
        <xdr:nvCxnSpPr>
          <xdr:cNvPr id="10" name="Shape 10"/>
          <xdr:cNvCxnSpPr>
            <a:stCxn id="9" idx="0"/>
          </xdr:cNvCxnSpPr>
        </xdr:nvCxnSpPr>
        <xdr:spPr>
          <a:xfrm rot="10800000">
            <a:off x="5250750" y="3551400"/>
            <a:ext cx="190500" cy="457200"/>
          </a:xfrm>
          <a:prstGeom prst="straightConnector1">
            <a:avLst/>
          </a:prstGeom>
          <a:noFill/>
          <a:ln cap="flat" cmpd="sng" w="9525">
            <a:solidFill>
              <a:schemeClr val="dk1"/>
            </a:solidFill>
            <a:prstDash val="solid"/>
            <a:round/>
            <a:headEnd len="sm" w="sm" type="none"/>
            <a:tailEnd len="med" w="med" type="triangle"/>
          </a:ln>
        </xdr:spPr>
      </xdr:cxnSp>
    </xdr:grpSp>
    <xdr:clientData fLocksWithSheet="0"/>
  </xdr:oneCellAnchor>
  <xdr:oneCellAnchor>
    <xdr:from>
      <xdr:col>22</xdr:col>
      <xdr:colOff>152400</xdr:colOff>
      <xdr:row>38</xdr:row>
      <xdr:rowOff>95250</xdr:rowOff>
    </xdr:from>
    <xdr:ext cx="2847975" cy="838200"/>
    <xdr:sp>
      <xdr:nvSpPr>
        <xdr:cNvPr id="11" name="Shape 11"/>
        <xdr:cNvSpPr txBox="1"/>
      </xdr:nvSpPr>
      <xdr:spPr>
        <a:xfrm>
          <a:off x="3926775" y="3360900"/>
          <a:ext cx="2838450" cy="838200"/>
        </a:xfrm>
        <a:prstGeom prst="rect">
          <a:avLst/>
        </a:prstGeom>
        <a:solidFill>
          <a:srgbClr val="EAEAE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0" lang="en-US" sz="1100">
              <a:solidFill>
                <a:schemeClr val="dk1"/>
              </a:solidFill>
              <a:latin typeface="Calibri"/>
              <a:ea typeface="Calibri"/>
              <a:cs typeface="Calibri"/>
              <a:sym typeface="Calibri"/>
            </a:rPr>
            <a:t>Is the colour</a:t>
          </a:r>
          <a:r>
            <a:rPr b="0" lang="en-US" sz="1100">
              <a:solidFill>
                <a:schemeClr val="dk1"/>
              </a:solidFill>
              <a:latin typeface="Calibri"/>
              <a:ea typeface="Calibri"/>
              <a:cs typeface="Calibri"/>
              <a:sym typeface="Calibri"/>
            </a:rPr>
            <a:t> scheme not right? Does the axis run too long? Want to change the Legend labels? Check out the formatting tab.</a:t>
          </a:r>
          <a:endParaRPr b="0" sz="1100"/>
        </a:p>
      </xdr:txBody>
    </xdr:sp>
    <xdr:clientData fLocksWithSheet="0"/>
  </xdr:oneCellAnchor>
  <xdr:oneCellAnchor>
    <xdr:from>
      <xdr:col>22</xdr:col>
      <xdr:colOff>866775</xdr:colOff>
      <xdr:row>35</xdr:row>
      <xdr:rowOff>76200</xdr:rowOff>
    </xdr:from>
    <xdr:ext cx="47625" cy="609600"/>
    <xdr:grpSp>
      <xdr:nvGrpSpPr>
        <xdr:cNvPr id="2" name="Shape 2"/>
        <xdr:cNvGrpSpPr/>
      </xdr:nvGrpSpPr>
      <xdr:grpSpPr>
        <a:xfrm>
          <a:off x="5322188" y="3475200"/>
          <a:ext cx="47625" cy="609600"/>
          <a:chOff x="5322188" y="3475200"/>
          <a:chExt cx="47625" cy="609600"/>
        </a:xfrm>
      </xdr:grpSpPr>
      <xdr:cxnSp>
        <xdr:nvCxnSpPr>
          <xdr:cNvPr id="12" name="Shape 12"/>
          <xdr:cNvCxnSpPr/>
        </xdr:nvCxnSpPr>
        <xdr:spPr>
          <a:xfrm rot="10800000">
            <a:off x="5322188" y="3475200"/>
            <a:ext cx="47625" cy="609600"/>
          </a:xfrm>
          <a:prstGeom prst="straightConnector1">
            <a:avLst/>
          </a:prstGeom>
          <a:noFill/>
          <a:ln cap="flat" cmpd="sng" w="9525">
            <a:solidFill>
              <a:schemeClr val="dk1"/>
            </a:solidFill>
            <a:prstDash val="solid"/>
            <a:round/>
            <a:headEnd len="sm" w="sm" type="none"/>
            <a:tailEnd len="med" w="med" type="triangle"/>
          </a:ln>
        </xdr:spPr>
      </xdr:cxnSp>
    </xdr:grpSp>
    <xdr:clientData fLocksWithSheet="0"/>
  </xdr:oneCellAnchor>
  <xdr:oneCellAnchor>
    <xdr:from>
      <xdr:col>27</xdr:col>
      <xdr:colOff>495300</xdr:colOff>
      <xdr:row>1</xdr:row>
      <xdr:rowOff>114300</xdr:rowOff>
    </xdr:from>
    <xdr:ext cx="2695575" cy="847725"/>
    <xdr:sp>
      <xdr:nvSpPr>
        <xdr:cNvPr id="13" name="Shape 13"/>
        <xdr:cNvSpPr txBox="1"/>
      </xdr:nvSpPr>
      <xdr:spPr>
        <a:xfrm>
          <a:off x="4002975" y="3360900"/>
          <a:ext cx="2686050" cy="838200"/>
        </a:xfrm>
        <a:prstGeom prst="rect">
          <a:avLst/>
        </a:prstGeom>
        <a:solidFill>
          <a:srgbClr val="EAEAE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dk1"/>
              </a:solidFill>
              <a:latin typeface="Calibri"/>
              <a:ea typeface="Calibri"/>
              <a:cs typeface="Calibri"/>
              <a:sym typeface="Calibri"/>
            </a:rPr>
            <a:t>The dynamic list below</a:t>
          </a:r>
          <a:r>
            <a:rPr lang="en-US" sz="1100">
              <a:solidFill>
                <a:schemeClr val="dk1"/>
              </a:solidFill>
              <a:latin typeface="Calibri"/>
              <a:ea typeface="Calibri"/>
              <a:cs typeface="Calibri"/>
              <a:sym typeface="Calibri"/>
            </a:rPr>
            <a:t> will update in each quadrant based on the member's responses. Use this section to change the order in which the quadrants are displayed in the list.</a:t>
          </a:r>
          <a:endParaRPr sz="1100"/>
        </a:p>
      </xdr:txBody>
    </xdr:sp>
    <xdr:clientData fLocksWithSheet="0"/>
  </xdr:oneCellAnchor>
  <xdr:oneCellAnchor>
    <xdr:from>
      <xdr:col>32</xdr:col>
      <xdr:colOff>142875</xdr:colOff>
      <xdr:row>3</xdr:row>
      <xdr:rowOff>66675</xdr:rowOff>
    </xdr:from>
    <xdr:ext cx="1047750" cy="38100"/>
    <xdr:grpSp>
      <xdr:nvGrpSpPr>
        <xdr:cNvPr id="2" name="Shape 2"/>
        <xdr:cNvGrpSpPr/>
      </xdr:nvGrpSpPr>
      <xdr:grpSpPr>
        <a:xfrm>
          <a:off x="4822125" y="3780000"/>
          <a:ext cx="1047750" cy="0"/>
          <a:chOff x="4822125" y="3780000"/>
          <a:chExt cx="1047750" cy="0"/>
        </a:xfrm>
      </xdr:grpSpPr>
      <xdr:cxnSp>
        <xdr:nvCxnSpPr>
          <xdr:cNvPr id="14" name="Shape 14"/>
          <xdr:cNvCxnSpPr/>
        </xdr:nvCxnSpPr>
        <xdr:spPr>
          <a:xfrm>
            <a:off x="4822125" y="3780000"/>
            <a:ext cx="1047750" cy="0"/>
          </a:xfrm>
          <a:prstGeom prst="straightConnector1">
            <a:avLst/>
          </a:prstGeom>
          <a:noFill/>
          <a:ln cap="flat" cmpd="sng" w="9525">
            <a:solidFill>
              <a:schemeClr val="dk1"/>
            </a:solidFill>
            <a:prstDash val="solid"/>
            <a:round/>
            <a:headEnd len="sm" w="sm" type="none"/>
            <a:tailEnd len="med" w="med" type="triangle"/>
          </a:ln>
        </xdr:spPr>
      </xdr:cxnSp>
    </xdr:grpSp>
    <xdr:clientData fLocksWithSheet="0"/>
  </xdr:oneCellAnchor>
  <xdr:oneCellAnchor>
    <xdr:from>
      <xdr:col>28</xdr:col>
      <xdr:colOff>419100</xdr:colOff>
      <xdr:row>49</xdr:row>
      <xdr:rowOff>104775</xdr:rowOff>
    </xdr:from>
    <xdr:ext cx="2466975" cy="866775"/>
    <xdr:sp>
      <xdr:nvSpPr>
        <xdr:cNvPr id="15" name="Shape 15"/>
        <xdr:cNvSpPr txBox="1"/>
      </xdr:nvSpPr>
      <xdr:spPr>
        <a:xfrm>
          <a:off x="4112513" y="3346613"/>
          <a:ext cx="2466975" cy="866775"/>
        </a:xfrm>
        <a:prstGeom prst="rect">
          <a:avLst/>
        </a:prstGeom>
        <a:solidFill>
          <a:srgbClr val="EAEAE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0" lang="en-US" sz="1100">
              <a:solidFill>
                <a:schemeClr val="dk1"/>
              </a:solidFill>
              <a:latin typeface="Calibri"/>
              <a:ea typeface="Calibri"/>
              <a:cs typeface="Calibri"/>
              <a:sym typeface="Calibri"/>
            </a:rPr>
            <a:t>If the colour scheme no longer matches the graph. Change</a:t>
          </a:r>
          <a:r>
            <a:rPr b="0" lang="en-US" sz="1100">
              <a:solidFill>
                <a:schemeClr val="dk1"/>
              </a:solidFill>
              <a:latin typeface="Calibri"/>
              <a:ea typeface="Calibri"/>
              <a:cs typeface="Calibri"/>
              <a:sym typeface="Calibri"/>
            </a:rPr>
            <a:t> the colours selected in the conditional formatting rules.</a:t>
          </a:r>
          <a:endParaRPr b="0" sz="1100"/>
        </a:p>
      </xdr:txBody>
    </xdr:sp>
    <xdr:clientData fLocksWithSheet="0"/>
  </xdr:oneCellAnchor>
  <xdr:oneCellAnchor>
    <xdr:from>
      <xdr:col>30</xdr:col>
      <xdr:colOff>438150</xdr:colOff>
      <xdr:row>44</xdr:row>
      <xdr:rowOff>66675</xdr:rowOff>
    </xdr:from>
    <xdr:ext cx="1647825" cy="1038225"/>
    <xdr:grpSp>
      <xdr:nvGrpSpPr>
        <xdr:cNvPr id="2" name="Shape 2"/>
        <xdr:cNvGrpSpPr/>
      </xdr:nvGrpSpPr>
      <xdr:grpSpPr>
        <a:xfrm>
          <a:off x="4526850" y="3265650"/>
          <a:ext cx="1638300" cy="1028700"/>
          <a:chOff x="4526850" y="3265650"/>
          <a:chExt cx="1638300" cy="1028700"/>
        </a:xfrm>
      </xdr:grpSpPr>
      <xdr:cxnSp>
        <xdr:nvCxnSpPr>
          <xdr:cNvPr id="16" name="Shape 16"/>
          <xdr:cNvCxnSpPr>
            <a:stCxn id="15" idx="0"/>
          </xdr:cNvCxnSpPr>
        </xdr:nvCxnSpPr>
        <xdr:spPr>
          <a:xfrm flipH="1" rot="10800000">
            <a:off x="4526850" y="3265650"/>
            <a:ext cx="1638300" cy="1028700"/>
          </a:xfrm>
          <a:prstGeom prst="straightConnector1">
            <a:avLst/>
          </a:prstGeom>
          <a:noFill/>
          <a:ln cap="flat" cmpd="sng" w="9525">
            <a:solidFill>
              <a:schemeClr val="dk1"/>
            </a:solidFill>
            <a:prstDash val="solid"/>
            <a:round/>
            <a:headEnd len="sm" w="sm" type="none"/>
            <a:tailEnd len="med" w="med" type="triangle"/>
          </a:ln>
        </xdr:spPr>
      </xdr:cxn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B6623D"/>
      </a:accent1>
      <a:accent2>
        <a:srgbClr val="647455"/>
      </a:accent2>
      <a:accent3>
        <a:srgbClr val="D3CB8D"/>
      </a:accent3>
      <a:accent4>
        <a:srgbClr val="DDDECE"/>
      </a:accent4>
      <a:accent5>
        <a:srgbClr val="EEE9B2"/>
      </a:accent5>
      <a:accent6>
        <a:srgbClr val="979B80"/>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71"/>
    <col customWidth="1" min="2" max="2" width="15.43"/>
    <col customWidth="1" min="3" max="3" width="14.43"/>
    <col customWidth="1" min="4" max="4" width="12.0"/>
    <col customWidth="1" min="5" max="5" width="2.0"/>
    <col customWidth="1" hidden="1" min="6" max="6" width="14.43"/>
    <col customWidth="1" hidden="1" min="7" max="7" width="3.43"/>
    <col customWidth="1" hidden="1" min="8" max="8" width="10.0"/>
    <col customWidth="1" hidden="1" min="9" max="9" width="7.71"/>
    <col customWidth="1" hidden="1" min="10" max="10" width="2.0"/>
    <col customWidth="1" hidden="1" min="11" max="12" width="7.71"/>
    <col customWidth="1" hidden="1" min="13" max="13" width="2.0"/>
    <col customWidth="1" hidden="1" min="14" max="15" width="7.71"/>
    <col customWidth="1" hidden="1" min="16" max="16" width="2.0"/>
    <col customWidth="1" hidden="1" min="17" max="18" width="7.71"/>
    <col customWidth="1" min="19" max="19" width="1.86"/>
    <col customWidth="1" min="20" max="20" width="14.0"/>
    <col customWidth="1" min="21" max="21" width="14.14"/>
    <col customWidth="1" min="22" max="22" width="4.14"/>
    <col customWidth="1" min="23" max="23" width="14.0"/>
    <col customWidth="1" min="24" max="24" width="14.43"/>
    <col customWidth="1" min="25" max="27" width="5.43"/>
    <col customWidth="1" min="28" max="33" width="9.14"/>
    <col customWidth="1" min="34" max="34" width="3.71"/>
    <col customWidth="1" min="35" max="35" width="14.0"/>
    <col customWidth="1" min="36" max="36" width="15.29"/>
    <col customWidth="1" min="37" max="37" width="5.86"/>
    <col customWidth="1" hidden="1" min="38" max="38" width="14.4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row>
    <row r="2">
      <c r="A2" s="1"/>
      <c r="B2" s="2"/>
      <c r="C2" s="3" t="s">
        <v>0</v>
      </c>
      <c r="D2" s="3" t="s">
        <v>1</v>
      </c>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4" t="s">
        <v>2</v>
      </c>
      <c r="AJ2" s="5"/>
      <c r="AK2" s="1"/>
      <c r="AL2" s="1"/>
    </row>
    <row r="3">
      <c r="A3" s="1"/>
      <c r="B3" s="2" t="s">
        <v>3</v>
      </c>
      <c r="C3" s="2">
        <v>8.0</v>
      </c>
      <c r="D3" s="2">
        <v>6.0</v>
      </c>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2" t="s">
        <v>4</v>
      </c>
      <c r="AJ3" s="2" t="s">
        <v>5</v>
      </c>
      <c r="AK3" s="1"/>
      <c r="AL3" s="1"/>
    </row>
    <row r="4">
      <c r="A4" s="1"/>
      <c r="B4" s="2" t="s">
        <v>6</v>
      </c>
      <c r="C4" s="2">
        <v>0.0</v>
      </c>
      <c r="D4" s="2">
        <v>0.0</v>
      </c>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2" t="s">
        <v>7</v>
      </c>
      <c r="AJ4" s="2" t="s">
        <v>8</v>
      </c>
      <c r="AK4" s="1"/>
      <c r="AL4" s="1"/>
    </row>
    <row r="5">
      <c r="A5" s="1"/>
      <c r="B5" s="2" t="s">
        <v>9</v>
      </c>
      <c r="C5" s="6">
        <f t="shared" ref="C5:D5" si="1">AVERAGE(C3:C4)</f>
        <v>4</v>
      </c>
      <c r="D5" s="6">
        <f t="shared" si="1"/>
        <v>3</v>
      </c>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2" t="s">
        <v>10</v>
      </c>
      <c r="AJ5" s="2" t="s">
        <v>11</v>
      </c>
      <c r="AK5" s="1"/>
      <c r="AL5" s="1"/>
    </row>
    <row r="6">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2" t="s">
        <v>12</v>
      </c>
      <c r="AJ6" s="2" t="s">
        <v>13</v>
      </c>
      <c r="AK6" s="1"/>
      <c r="AL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row>
    <row r="9">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row>
    <row r="16" ht="30.0" customHeight="1">
      <c r="A16" s="1"/>
      <c r="B16" s="1"/>
      <c r="C16" s="1"/>
      <c r="D16" s="1"/>
      <c r="E16" s="1"/>
      <c r="F16" s="1"/>
      <c r="G16" s="1"/>
      <c r="H16" s="7" t="s">
        <v>14</v>
      </c>
      <c r="I16" s="5"/>
      <c r="J16" s="8"/>
      <c r="K16" s="7" t="s">
        <v>15</v>
      </c>
      <c r="L16" s="5"/>
      <c r="M16" s="8"/>
      <c r="N16" s="7" t="s">
        <v>16</v>
      </c>
      <c r="O16" s="5"/>
      <c r="P16" s="8"/>
      <c r="Q16" s="7" t="s">
        <v>17</v>
      </c>
      <c r="R16" s="5"/>
      <c r="S16" s="8"/>
      <c r="T16" s="4" t="s">
        <v>18</v>
      </c>
      <c r="U16" s="5"/>
      <c r="V16" s="1"/>
      <c r="W16" s="1"/>
      <c r="X16" s="1"/>
      <c r="Y16" s="1"/>
      <c r="Z16" s="1"/>
      <c r="AA16" s="1"/>
      <c r="AB16" s="1"/>
      <c r="AC16" s="1"/>
      <c r="AD16" s="1"/>
      <c r="AE16" s="1"/>
      <c r="AF16" s="1"/>
      <c r="AG16" s="1"/>
      <c r="AH16" s="1"/>
      <c r="AI16" s="1"/>
      <c r="AJ16" s="1"/>
      <c r="AK16" s="1"/>
      <c r="AL16" s="1"/>
    </row>
    <row r="17" ht="37.5" customHeight="1">
      <c r="A17" s="9"/>
      <c r="B17" s="3" t="s">
        <v>19</v>
      </c>
      <c r="C17" s="3" t="s">
        <v>20</v>
      </c>
      <c r="D17" s="3" t="s">
        <v>21</v>
      </c>
      <c r="E17" s="9"/>
      <c r="F17" s="3" t="s">
        <v>22</v>
      </c>
      <c r="G17" s="9"/>
      <c r="H17" s="3" t="s">
        <v>20</v>
      </c>
      <c r="I17" s="3" t="s">
        <v>21</v>
      </c>
      <c r="J17" s="9"/>
      <c r="K17" s="3" t="s">
        <v>20</v>
      </c>
      <c r="L17" s="3" t="s">
        <v>21</v>
      </c>
      <c r="M17" s="9"/>
      <c r="N17" s="3" t="s">
        <v>20</v>
      </c>
      <c r="O17" s="3" t="s">
        <v>21</v>
      </c>
      <c r="P17" s="9"/>
      <c r="Q17" s="3" t="s">
        <v>20</v>
      </c>
      <c r="R17" s="3" t="s">
        <v>21</v>
      </c>
      <c r="S17" s="9"/>
      <c r="T17" s="3" t="s">
        <v>23</v>
      </c>
      <c r="U17" s="3" t="s">
        <v>24</v>
      </c>
      <c r="V17" s="9"/>
      <c r="W17" s="9"/>
      <c r="X17" s="9"/>
      <c r="Y17" s="9"/>
      <c r="Z17" s="9"/>
      <c r="AA17" s="9"/>
      <c r="AB17" s="9"/>
      <c r="AC17" s="9"/>
      <c r="AD17" s="9"/>
      <c r="AE17" s="9"/>
      <c r="AF17" s="9"/>
      <c r="AG17" s="9"/>
      <c r="AH17" s="9"/>
      <c r="AI17" s="10" t="s">
        <v>24</v>
      </c>
      <c r="AJ17" s="10" t="s">
        <v>19</v>
      </c>
      <c r="AK17" s="9"/>
      <c r="AL17" s="10" t="s">
        <v>25</v>
      </c>
    </row>
    <row r="18">
      <c r="A18" s="1"/>
      <c r="B18" s="11" t="s">
        <v>26</v>
      </c>
      <c r="C18" s="2">
        <v>4.0</v>
      </c>
      <c r="D18" s="2">
        <v>0.0</v>
      </c>
      <c r="E18" s="1"/>
      <c r="F18" s="6" t="str">
        <f t="shared" ref="F18:F67" si="6">IF(OR(C18="",D18=""),NA(),IF(AND(C18&gt;=$C$5,D18&gt;=$D$5),"TOP RIGHT",IF(AND(C18&gt;$C$5,D18&lt;$D$5),"BOTTOM RIGHT",IF(AND(C18&lt;$C$5,D18&gt;$D$5),"TOP LEFT",IF(AND(C18&lt;=$C$5,D18&lt;=$D$5),"BOTTOM LEFT",NA())))))</f>
        <v>BOTTOM LEFT</v>
      </c>
      <c r="G18" s="1"/>
      <c r="H18" s="6" t="str">
        <f t="shared" ref="H18:I18" si="2">IF($F18="TOP RIGHT",C18,NA())</f>
        <v>#N/A</v>
      </c>
      <c r="I18" s="6" t="str">
        <f t="shared" si="2"/>
        <v>#N/A</v>
      </c>
      <c r="J18" s="1"/>
      <c r="K18" s="6" t="str">
        <f t="shared" ref="K18:L18" si="3">IF($F18="BOTTOM RIGHT",C18,NA())</f>
        <v>#N/A</v>
      </c>
      <c r="L18" s="6" t="str">
        <f t="shared" si="3"/>
        <v>#N/A</v>
      </c>
      <c r="M18" s="1"/>
      <c r="N18" s="6" t="str">
        <f t="shared" ref="N18:O18" si="4">IF($F18="TOP LEFT",C18,NA())</f>
        <v>#N/A</v>
      </c>
      <c r="O18" s="6" t="str">
        <f t="shared" si="4"/>
        <v>#N/A</v>
      </c>
      <c r="P18" s="1"/>
      <c r="Q18" s="6">
        <f t="shared" ref="Q18:R18" si="5">IF($F18="BOTTOM LEFT",C18,NA())</f>
        <v>4</v>
      </c>
      <c r="R18" s="6">
        <f t="shared" si="5"/>
        <v>0</v>
      </c>
      <c r="S18" s="1"/>
      <c r="T18" s="6">
        <f t="shared" ref="T18:T67" si="11">IF(F18=$AJ$3,(100-(C18+D18)),IF(F18=$AJ$4,(100-(C18+D18))+100,IF(F18=$AJ$5,(100-(C18+D18))+200,IF(F18=$AJ$6,(100-(C18+D18))+300,""))))</f>
        <v>396</v>
      </c>
      <c r="U18" s="6">
        <f t="shared" ref="U18:U67" si="12">RANK(T18,$T$18:$T$67,1)+COUNTIF($T18:T$67,T18)-1</f>
        <v>47</v>
      </c>
      <c r="V18" s="1"/>
      <c r="W18" s="1"/>
      <c r="X18" s="1"/>
      <c r="Y18" s="1"/>
      <c r="Z18" s="1"/>
      <c r="AA18" s="1"/>
      <c r="AB18" s="1"/>
      <c r="AC18" s="1"/>
      <c r="AD18" s="1"/>
      <c r="AE18" s="1"/>
      <c r="AF18" s="1"/>
      <c r="AG18" s="1"/>
      <c r="AH18" s="1"/>
      <c r="AI18" s="11">
        <v>1.0</v>
      </c>
      <c r="AJ18" s="11" t="str">
        <f t="shared" ref="AJ18:AJ67" si="13">INDEX($B$18:$B$67,MATCH(AI18,$U$18:$U$67,0))</f>
        <v>#41</v>
      </c>
      <c r="AK18" s="1"/>
      <c r="AL18" s="2" t="str">
        <f t="shared" ref="AL18:AL67" si="14">INDEX($F$18:$F$67,MATCH(AJ18,$B$18:$B$67,0))</f>
        <v>TOP RIGHT</v>
      </c>
    </row>
    <row r="19">
      <c r="A19" s="1"/>
      <c r="B19" s="11" t="s">
        <v>27</v>
      </c>
      <c r="C19" s="2">
        <v>5.0</v>
      </c>
      <c r="D19" s="2">
        <v>0.0</v>
      </c>
      <c r="E19" s="1"/>
      <c r="F19" s="6" t="str">
        <f t="shared" si="6"/>
        <v>BOTTOM RIGHT</v>
      </c>
      <c r="G19" s="1"/>
      <c r="H19" s="6" t="str">
        <f t="shared" ref="H19:I19" si="7">IF($F19="TOP RIGHT",C19,NA())</f>
        <v>#N/A</v>
      </c>
      <c r="I19" s="6" t="str">
        <f t="shared" si="7"/>
        <v>#N/A</v>
      </c>
      <c r="J19" s="1"/>
      <c r="K19" s="6">
        <f t="shared" ref="K19:L19" si="8">IF($F19="BOTTOM RIGHT",C19,NA())</f>
        <v>5</v>
      </c>
      <c r="L19" s="6">
        <f t="shared" si="8"/>
        <v>0</v>
      </c>
      <c r="M19" s="1"/>
      <c r="N19" s="6" t="str">
        <f t="shared" ref="N19:O19" si="9">IF($F19="TOP LEFT",C19,NA())</f>
        <v>#N/A</v>
      </c>
      <c r="O19" s="6" t="str">
        <f t="shared" si="9"/>
        <v>#N/A</v>
      </c>
      <c r="P19" s="1"/>
      <c r="Q19" s="6" t="str">
        <f t="shared" ref="Q19:R19" si="10">IF($F19="BOTTOM LEFT",C19,NA())</f>
        <v>#N/A</v>
      </c>
      <c r="R19" s="6" t="str">
        <f t="shared" si="10"/>
        <v>#N/A</v>
      </c>
      <c r="S19" s="1"/>
      <c r="T19" s="6">
        <f t="shared" si="11"/>
        <v>195</v>
      </c>
      <c r="U19" s="6">
        <f t="shared" si="12"/>
        <v>31</v>
      </c>
      <c r="V19" s="1"/>
      <c r="W19" s="1"/>
      <c r="X19" s="1"/>
      <c r="Y19" s="1"/>
      <c r="Z19" s="1"/>
      <c r="AA19" s="1"/>
      <c r="AB19" s="1"/>
      <c r="AC19" s="1"/>
      <c r="AD19" s="1"/>
      <c r="AE19" s="1"/>
      <c r="AF19" s="1"/>
      <c r="AG19" s="1"/>
      <c r="AH19" s="1"/>
      <c r="AI19" s="11">
        <v>2.0</v>
      </c>
      <c r="AJ19" s="11" t="str">
        <f t="shared" si="13"/>
        <v>#28</v>
      </c>
      <c r="AK19" s="1"/>
      <c r="AL19" s="2" t="str">
        <f t="shared" si="14"/>
        <v>TOP RIGHT</v>
      </c>
    </row>
    <row r="20">
      <c r="A20" s="1"/>
      <c r="B20" s="11" t="s">
        <v>28</v>
      </c>
      <c r="C20" s="2">
        <v>4.0</v>
      </c>
      <c r="D20" s="2">
        <v>1.0</v>
      </c>
      <c r="E20" s="1"/>
      <c r="F20" s="6" t="str">
        <f t="shared" si="6"/>
        <v>BOTTOM LEFT</v>
      </c>
      <c r="G20" s="1"/>
      <c r="H20" s="6" t="str">
        <f t="shared" ref="H20:I20" si="15">IF($F20="TOP RIGHT",C20,NA())</f>
        <v>#N/A</v>
      </c>
      <c r="I20" s="6" t="str">
        <f t="shared" si="15"/>
        <v>#N/A</v>
      </c>
      <c r="J20" s="1"/>
      <c r="K20" s="6" t="str">
        <f t="shared" ref="K20:L20" si="16">IF($F20="BOTTOM RIGHT",C20,NA())</f>
        <v>#N/A</v>
      </c>
      <c r="L20" s="6" t="str">
        <f t="shared" si="16"/>
        <v>#N/A</v>
      </c>
      <c r="M20" s="1"/>
      <c r="N20" s="6" t="str">
        <f t="shared" ref="N20:O20" si="17">IF($F20="TOP LEFT",C20,NA())</f>
        <v>#N/A</v>
      </c>
      <c r="O20" s="6" t="str">
        <f t="shared" si="17"/>
        <v>#N/A</v>
      </c>
      <c r="P20" s="1"/>
      <c r="Q20" s="6">
        <f t="shared" ref="Q20:R20" si="18">IF($F20="BOTTOM LEFT",C20,NA())</f>
        <v>4</v>
      </c>
      <c r="R20" s="6">
        <f t="shared" si="18"/>
        <v>1</v>
      </c>
      <c r="S20" s="1"/>
      <c r="T20" s="6">
        <f t="shared" si="11"/>
        <v>395</v>
      </c>
      <c r="U20" s="6">
        <f t="shared" si="12"/>
        <v>41</v>
      </c>
      <c r="V20" s="1"/>
      <c r="W20" s="1"/>
      <c r="X20" s="1"/>
      <c r="Y20" s="1"/>
      <c r="Z20" s="1"/>
      <c r="AA20" s="1"/>
      <c r="AB20" s="1"/>
      <c r="AC20" s="1"/>
      <c r="AD20" s="1"/>
      <c r="AE20" s="1"/>
      <c r="AF20" s="1"/>
      <c r="AG20" s="1"/>
      <c r="AH20" s="1"/>
      <c r="AI20" s="11">
        <v>3.0</v>
      </c>
      <c r="AJ20" s="11" t="str">
        <f t="shared" si="13"/>
        <v>#14</v>
      </c>
      <c r="AK20" s="1"/>
      <c r="AL20" s="2" t="str">
        <f t="shared" si="14"/>
        <v>TOP RIGHT</v>
      </c>
    </row>
    <row r="21" ht="15.75" customHeight="1">
      <c r="A21" s="1"/>
      <c r="B21" s="11" t="s">
        <v>29</v>
      </c>
      <c r="C21" s="2">
        <v>2.0</v>
      </c>
      <c r="D21" s="2">
        <v>2.0</v>
      </c>
      <c r="E21" s="1"/>
      <c r="F21" s="6" t="str">
        <f t="shared" si="6"/>
        <v>BOTTOM LEFT</v>
      </c>
      <c r="G21" s="1"/>
      <c r="H21" s="6" t="str">
        <f t="shared" ref="H21:I21" si="19">IF($F21="TOP RIGHT",C21,NA())</f>
        <v>#N/A</v>
      </c>
      <c r="I21" s="6" t="str">
        <f t="shared" si="19"/>
        <v>#N/A</v>
      </c>
      <c r="J21" s="1"/>
      <c r="K21" s="6" t="str">
        <f t="shared" ref="K21:L21" si="20">IF($F21="BOTTOM RIGHT",C21,NA())</f>
        <v>#N/A</v>
      </c>
      <c r="L21" s="6" t="str">
        <f t="shared" si="20"/>
        <v>#N/A</v>
      </c>
      <c r="M21" s="1"/>
      <c r="N21" s="6" t="str">
        <f t="shared" ref="N21:O21" si="21">IF($F21="TOP LEFT",C21,NA())</f>
        <v>#N/A</v>
      </c>
      <c r="O21" s="6" t="str">
        <f t="shared" si="21"/>
        <v>#N/A</v>
      </c>
      <c r="P21" s="1"/>
      <c r="Q21" s="6">
        <f t="shared" ref="Q21:R21" si="22">IF($F21="BOTTOM LEFT",C21,NA())</f>
        <v>2</v>
      </c>
      <c r="R21" s="6">
        <f t="shared" si="22"/>
        <v>2</v>
      </c>
      <c r="S21" s="1"/>
      <c r="T21" s="6">
        <f t="shared" si="11"/>
        <v>396</v>
      </c>
      <c r="U21" s="6">
        <f t="shared" si="12"/>
        <v>46</v>
      </c>
      <c r="V21" s="1"/>
      <c r="W21" s="1"/>
      <c r="X21" s="1"/>
      <c r="Y21" s="1"/>
      <c r="Z21" s="1"/>
      <c r="AA21" s="1"/>
      <c r="AB21" s="1"/>
      <c r="AC21" s="1"/>
      <c r="AD21" s="1"/>
      <c r="AE21" s="1"/>
      <c r="AF21" s="1"/>
      <c r="AG21" s="1"/>
      <c r="AH21" s="1"/>
      <c r="AI21" s="11">
        <v>4.0</v>
      </c>
      <c r="AJ21" s="11" t="str">
        <f t="shared" si="13"/>
        <v>#25</v>
      </c>
      <c r="AK21" s="1"/>
      <c r="AL21" s="2" t="str">
        <f t="shared" si="14"/>
        <v>TOP RIGHT</v>
      </c>
    </row>
    <row r="22" ht="15.75" customHeight="1">
      <c r="A22" s="1"/>
      <c r="B22" s="11" t="s">
        <v>30</v>
      </c>
      <c r="C22" s="2">
        <v>5.0</v>
      </c>
      <c r="D22" s="2">
        <v>4.0</v>
      </c>
      <c r="E22" s="1"/>
      <c r="F22" s="6" t="str">
        <f t="shared" si="6"/>
        <v>TOP RIGHT</v>
      </c>
      <c r="G22" s="1"/>
      <c r="H22" s="6">
        <f t="shared" ref="H22:I22" si="23">IF($F22="TOP RIGHT",C22,NA())</f>
        <v>5</v>
      </c>
      <c r="I22" s="6">
        <f t="shared" si="23"/>
        <v>4</v>
      </c>
      <c r="J22" s="1"/>
      <c r="K22" s="6" t="str">
        <f t="shared" ref="K22:L22" si="24">IF($F22="BOTTOM RIGHT",C22,NA())</f>
        <v>#N/A</v>
      </c>
      <c r="L22" s="6" t="str">
        <f t="shared" si="24"/>
        <v>#N/A</v>
      </c>
      <c r="M22" s="1"/>
      <c r="N22" s="6" t="str">
        <f t="shared" ref="N22:O22" si="25">IF($F22="TOP LEFT",C22,NA())</f>
        <v>#N/A</v>
      </c>
      <c r="O22" s="6" t="str">
        <f t="shared" si="25"/>
        <v>#N/A</v>
      </c>
      <c r="P22" s="1"/>
      <c r="Q22" s="6" t="str">
        <f t="shared" ref="Q22:R22" si="26">IF($F22="BOTTOM LEFT",C22,NA())</f>
        <v>#N/A</v>
      </c>
      <c r="R22" s="6" t="str">
        <f t="shared" si="26"/>
        <v>#N/A</v>
      </c>
      <c r="S22" s="1"/>
      <c r="T22" s="6">
        <f t="shared" si="11"/>
        <v>91</v>
      </c>
      <c r="U22" s="6">
        <f t="shared" si="12"/>
        <v>10</v>
      </c>
      <c r="V22" s="1"/>
      <c r="W22" s="1"/>
      <c r="X22" s="1"/>
      <c r="Y22" s="1"/>
      <c r="Z22" s="1"/>
      <c r="AA22" s="1"/>
      <c r="AB22" s="1"/>
      <c r="AC22" s="1"/>
      <c r="AD22" s="1"/>
      <c r="AE22" s="1"/>
      <c r="AF22" s="1"/>
      <c r="AG22" s="1"/>
      <c r="AH22" s="1"/>
      <c r="AI22" s="11">
        <v>5.0</v>
      </c>
      <c r="AJ22" s="11" t="str">
        <f t="shared" si="13"/>
        <v>#30</v>
      </c>
      <c r="AK22" s="1"/>
      <c r="AL22" s="2" t="str">
        <f t="shared" si="14"/>
        <v>TOP RIGHT</v>
      </c>
    </row>
    <row r="23" ht="15.75" customHeight="1">
      <c r="A23" s="1"/>
      <c r="B23" s="11" t="s">
        <v>31</v>
      </c>
      <c r="C23" s="2">
        <v>2.0</v>
      </c>
      <c r="D23" s="2">
        <v>6.0</v>
      </c>
      <c r="E23" s="1"/>
      <c r="F23" s="6" t="str">
        <f t="shared" si="6"/>
        <v>TOP LEFT</v>
      </c>
      <c r="G23" s="1"/>
      <c r="H23" s="6" t="str">
        <f t="shared" ref="H23:I23" si="27">IF($F23="TOP RIGHT",C23,NA())</f>
        <v>#N/A</v>
      </c>
      <c r="I23" s="6" t="str">
        <f t="shared" si="27"/>
        <v>#N/A</v>
      </c>
      <c r="J23" s="1"/>
      <c r="K23" s="6" t="str">
        <f t="shared" ref="K23:L23" si="28">IF($F23="BOTTOM RIGHT",C23,NA())</f>
        <v>#N/A</v>
      </c>
      <c r="L23" s="6" t="str">
        <f t="shared" si="28"/>
        <v>#N/A</v>
      </c>
      <c r="M23" s="1"/>
      <c r="N23" s="6">
        <f t="shared" ref="N23:O23" si="29">IF($F23="TOP LEFT",C23,NA())</f>
        <v>2</v>
      </c>
      <c r="O23" s="6">
        <f t="shared" si="29"/>
        <v>6</v>
      </c>
      <c r="P23" s="1"/>
      <c r="Q23" s="6" t="str">
        <f t="shared" ref="Q23:R23" si="30">IF($F23="BOTTOM LEFT",C23,NA())</f>
        <v>#N/A</v>
      </c>
      <c r="R23" s="6" t="str">
        <f t="shared" si="30"/>
        <v>#N/A</v>
      </c>
      <c r="S23" s="1"/>
      <c r="T23" s="6">
        <f t="shared" si="11"/>
        <v>292</v>
      </c>
      <c r="U23" s="6">
        <f t="shared" si="12"/>
        <v>33</v>
      </c>
      <c r="V23" s="1"/>
      <c r="W23" s="1"/>
      <c r="X23" s="1"/>
      <c r="Y23" s="1"/>
      <c r="Z23" s="1"/>
      <c r="AA23" s="1"/>
      <c r="AB23" s="1"/>
      <c r="AC23" s="1"/>
      <c r="AD23" s="1"/>
      <c r="AE23" s="1"/>
      <c r="AF23" s="1"/>
      <c r="AG23" s="1"/>
      <c r="AH23" s="1"/>
      <c r="AI23" s="11">
        <v>6.0</v>
      </c>
      <c r="AJ23" s="11" t="str">
        <f t="shared" si="13"/>
        <v>#22</v>
      </c>
      <c r="AK23" s="1"/>
      <c r="AL23" s="2" t="str">
        <f t="shared" si="14"/>
        <v>TOP RIGHT</v>
      </c>
    </row>
    <row r="24" ht="15.75" customHeight="1">
      <c r="A24" s="1"/>
      <c r="B24" s="11" t="s">
        <v>32</v>
      </c>
      <c r="C24" s="2">
        <v>7.0</v>
      </c>
      <c r="D24" s="2">
        <v>4.0</v>
      </c>
      <c r="E24" s="1"/>
      <c r="F24" s="6" t="str">
        <f t="shared" si="6"/>
        <v>TOP RIGHT</v>
      </c>
      <c r="G24" s="1"/>
      <c r="H24" s="6">
        <f t="shared" ref="H24:I24" si="31">IF($F24="TOP RIGHT",C24,NA())</f>
        <v>7</v>
      </c>
      <c r="I24" s="6">
        <f t="shared" si="31"/>
        <v>4</v>
      </c>
      <c r="J24" s="1"/>
      <c r="K24" s="6" t="str">
        <f t="shared" ref="K24:L24" si="32">IF($F24="BOTTOM RIGHT",C24,NA())</f>
        <v>#N/A</v>
      </c>
      <c r="L24" s="6" t="str">
        <f t="shared" si="32"/>
        <v>#N/A</v>
      </c>
      <c r="M24" s="1"/>
      <c r="N24" s="6" t="str">
        <f t="shared" ref="N24:O24" si="33">IF($F24="TOP LEFT",C24,NA())</f>
        <v>#N/A</v>
      </c>
      <c r="O24" s="6" t="str">
        <f t="shared" si="33"/>
        <v>#N/A</v>
      </c>
      <c r="P24" s="1"/>
      <c r="Q24" s="6" t="str">
        <f t="shared" ref="Q24:R24" si="34">IF($F24="BOTTOM LEFT",C24,NA())</f>
        <v>#N/A</v>
      </c>
      <c r="R24" s="6" t="str">
        <f t="shared" si="34"/>
        <v>#N/A</v>
      </c>
      <c r="S24" s="1"/>
      <c r="T24" s="6">
        <f t="shared" si="11"/>
        <v>89</v>
      </c>
      <c r="U24" s="6">
        <f t="shared" si="12"/>
        <v>7</v>
      </c>
      <c r="V24" s="1"/>
      <c r="W24" s="1"/>
      <c r="X24" s="1"/>
      <c r="Y24" s="1"/>
      <c r="Z24" s="1"/>
      <c r="AA24" s="1"/>
      <c r="AB24" s="1"/>
      <c r="AC24" s="1"/>
      <c r="AD24" s="1"/>
      <c r="AE24" s="1"/>
      <c r="AF24" s="1"/>
      <c r="AG24" s="1"/>
      <c r="AH24" s="1"/>
      <c r="AI24" s="11">
        <v>7.0</v>
      </c>
      <c r="AJ24" s="11" t="str">
        <f t="shared" si="13"/>
        <v>#7</v>
      </c>
      <c r="AK24" s="1"/>
      <c r="AL24" s="2" t="str">
        <f t="shared" si="14"/>
        <v>TOP RIGHT</v>
      </c>
    </row>
    <row r="25" ht="15.75" customHeight="1">
      <c r="A25" s="1"/>
      <c r="B25" s="11" t="s">
        <v>33</v>
      </c>
      <c r="C25" s="2">
        <v>8.0</v>
      </c>
      <c r="D25" s="2">
        <v>1.0</v>
      </c>
      <c r="E25" s="1"/>
      <c r="F25" s="6" t="str">
        <f t="shared" si="6"/>
        <v>BOTTOM RIGHT</v>
      </c>
      <c r="G25" s="1"/>
      <c r="H25" s="6" t="str">
        <f t="shared" ref="H25:I25" si="35">IF($F25="TOP RIGHT",C25,NA())</f>
        <v>#N/A</v>
      </c>
      <c r="I25" s="6" t="str">
        <f t="shared" si="35"/>
        <v>#N/A</v>
      </c>
      <c r="J25" s="1"/>
      <c r="K25" s="6">
        <f t="shared" ref="K25:L25" si="36">IF($F25="BOTTOM RIGHT",C25,NA())</f>
        <v>8</v>
      </c>
      <c r="L25" s="6">
        <f t="shared" si="36"/>
        <v>1</v>
      </c>
      <c r="M25" s="1"/>
      <c r="N25" s="6" t="str">
        <f t="shared" ref="N25:O25" si="37">IF($F25="TOP LEFT",C25,NA())</f>
        <v>#N/A</v>
      </c>
      <c r="O25" s="6" t="str">
        <f t="shared" si="37"/>
        <v>#N/A</v>
      </c>
      <c r="P25" s="1"/>
      <c r="Q25" s="6" t="str">
        <f t="shared" ref="Q25:R25" si="38">IF($F25="BOTTOM LEFT",C25,NA())</f>
        <v>#N/A</v>
      </c>
      <c r="R25" s="6" t="str">
        <f t="shared" si="38"/>
        <v>#N/A</v>
      </c>
      <c r="S25" s="1"/>
      <c r="T25" s="6">
        <f t="shared" si="11"/>
        <v>191</v>
      </c>
      <c r="U25" s="6">
        <f t="shared" si="12"/>
        <v>17</v>
      </c>
      <c r="V25" s="1"/>
      <c r="W25" s="1"/>
      <c r="X25" s="1"/>
      <c r="Y25" s="1"/>
      <c r="Z25" s="1"/>
      <c r="AA25" s="1"/>
      <c r="AB25" s="1"/>
      <c r="AC25" s="1"/>
      <c r="AD25" s="1"/>
      <c r="AE25" s="1"/>
      <c r="AF25" s="1"/>
      <c r="AG25" s="1"/>
      <c r="AH25" s="1"/>
      <c r="AI25" s="11">
        <v>8.0</v>
      </c>
      <c r="AJ25" s="11" t="str">
        <f t="shared" si="13"/>
        <v>#20</v>
      </c>
      <c r="AK25" s="1"/>
      <c r="AL25" s="2" t="str">
        <f t="shared" si="14"/>
        <v>TOP RIGHT</v>
      </c>
    </row>
    <row r="26" ht="15.75" customHeight="1">
      <c r="A26" s="1"/>
      <c r="B26" s="11" t="s">
        <v>34</v>
      </c>
      <c r="C26" s="2">
        <v>6.0</v>
      </c>
      <c r="D26" s="2">
        <v>4.0</v>
      </c>
      <c r="E26" s="1"/>
      <c r="F26" s="6" t="str">
        <f t="shared" si="6"/>
        <v>TOP RIGHT</v>
      </c>
      <c r="G26" s="1"/>
      <c r="H26" s="6">
        <f t="shared" ref="H26:I26" si="39">IF($F26="TOP RIGHT",C26,NA())</f>
        <v>6</v>
      </c>
      <c r="I26" s="6">
        <f t="shared" si="39"/>
        <v>4</v>
      </c>
      <c r="J26" s="1"/>
      <c r="K26" s="6" t="str">
        <f t="shared" ref="K26:L26" si="40">IF($F26="BOTTOM RIGHT",C26,NA())</f>
        <v>#N/A</v>
      </c>
      <c r="L26" s="6" t="str">
        <f t="shared" si="40"/>
        <v>#N/A</v>
      </c>
      <c r="M26" s="1"/>
      <c r="N26" s="6" t="str">
        <f t="shared" ref="N26:O26" si="41">IF($F26="TOP LEFT",C26,NA())</f>
        <v>#N/A</v>
      </c>
      <c r="O26" s="6" t="str">
        <f t="shared" si="41"/>
        <v>#N/A</v>
      </c>
      <c r="P26" s="1"/>
      <c r="Q26" s="6" t="str">
        <f t="shared" ref="Q26:R26" si="42">IF($F26="BOTTOM LEFT",C26,NA())</f>
        <v>#N/A</v>
      </c>
      <c r="R26" s="6" t="str">
        <f t="shared" si="42"/>
        <v>#N/A</v>
      </c>
      <c r="S26" s="1"/>
      <c r="T26" s="6">
        <f t="shared" si="11"/>
        <v>90</v>
      </c>
      <c r="U26" s="6">
        <f t="shared" si="12"/>
        <v>9</v>
      </c>
      <c r="V26" s="1"/>
      <c r="W26" s="1"/>
      <c r="X26" s="1"/>
      <c r="Y26" s="1"/>
      <c r="Z26" s="1"/>
      <c r="AA26" s="1"/>
      <c r="AB26" s="1"/>
      <c r="AC26" s="1"/>
      <c r="AD26" s="1"/>
      <c r="AE26" s="1"/>
      <c r="AF26" s="1"/>
      <c r="AG26" s="1"/>
      <c r="AH26" s="1"/>
      <c r="AI26" s="11">
        <v>9.0</v>
      </c>
      <c r="AJ26" s="11" t="str">
        <f t="shared" si="13"/>
        <v>#9</v>
      </c>
      <c r="AK26" s="1"/>
      <c r="AL26" s="2" t="str">
        <f t="shared" si="14"/>
        <v>TOP RIGHT</v>
      </c>
    </row>
    <row r="27" ht="15.75" customHeight="1">
      <c r="A27" s="1"/>
      <c r="B27" s="11" t="s">
        <v>35</v>
      </c>
      <c r="C27" s="2">
        <v>4.0</v>
      </c>
      <c r="D27" s="2">
        <v>3.0</v>
      </c>
      <c r="E27" s="1"/>
      <c r="F27" s="6" t="str">
        <f t="shared" si="6"/>
        <v>TOP RIGHT</v>
      </c>
      <c r="G27" s="1"/>
      <c r="H27" s="6">
        <f t="shared" ref="H27:I27" si="43">IF($F27="TOP RIGHT",C27,NA())</f>
        <v>4</v>
      </c>
      <c r="I27" s="6">
        <f t="shared" si="43"/>
        <v>3</v>
      </c>
      <c r="J27" s="1"/>
      <c r="K27" s="6" t="str">
        <f t="shared" ref="K27:L27" si="44">IF($F27="BOTTOM RIGHT",C27,NA())</f>
        <v>#N/A</v>
      </c>
      <c r="L27" s="6" t="str">
        <f t="shared" si="44"/>
        <v>#N/A</v>
      </c>
      <c r="M27" s="1"/>
      <c r="N27" s="6" t="str">
        <f t="shared" ref="N27:O27" si="45">IF($F27="TOP LEFT",C27,NA())</f>
        <v>#N/A</v>
      </c>
      <c r="O27" s="6" t="str">
        <f t="shared" si="45"/>
        <v>#N/A</v>
      </c>
      <c r="P27" s="1"/>
      <c r="Q27" s="6" t="str">
        <f t="shared" ref="Q27:R27" si="46">IF($F27="BOTTOM LEFT",C27,NA())</f>
        <v>#N/A</v>
      </c>
      <c r="R27" s="6" t="str">
        <f t="shared" si="46"/>
        <v>#N/A</v>
      </c>
      <c r="S27" s="1"/>
      <c r="T27" s="6">
        <f t="shared" si="11"/>
        <v>93</v>
      </c>
      <c r="U27" s="6">
        <f t="shared" si="12"/>
        <v>13</v>
      </c>
      <c r="V27" s="1"/>
      <c r="W27" s="1"/>
      <c r="X27" s="1"/>
      <c r="Y27" s="1"/>
      <c r="Z27" s="1"/>
      <c r="AA27" s="1"/>
      <c r="AB27" s="1"/>
      <c r="AC27" s="1"/>
      <c r="AD27" s="1"/>
      <c r="AE27" s="1"/>
      <c r="AF27" s="1"/>
      <c r="AG27" s="1"/>
      <c r="AH27" s="1"/>
      <c r="AI27" s="11">
        <v>10.0</v>
      </c>
      <c r="AJ27" s="11" t="str">
        <f t="shared" si="13"/>
        <v>#5</v>
      </c>
      <c r="AK27" s="1"/>
      <c r="AL27" s="2" t="str">
        <f t="shared" si="14"/>
        <v>TOP RIGHT</v>
      </c>
    </row>
    <row r="28" ht="15.75" customHeight="1">
      <c r="A28" s="1"/>
      <c r="B28" s="11" t="s">
        <v>36</v>
      </c>
      <c r="C28" s="2">
        <v>1.0</v>
      </c>
      <c r="D28" s="2">
        <v>1.0</v>
      </c>
      <c r="E28" s="1"/>
      <c r="F28" s="6" t="str">
        <f t="shared" si="6"/>
        <v>BOTTOM LEFT</v>
      </c>
      <c r="G28" s="1"/>
      <c r="H28" s="6" t="str">
        <f t="shared" ref="H28:I28" si="47">IF($F28="TOP RIGHT",C28,NA())</f>
        <v>#N/A</v>
      </c>
      <c r="I28" s="6" t="str">
        <f t="shared" si="47"/>
        <v>#N/A</v>
      </c>
      <c r="J28" s="1"/>
      <c r="K28" s="6" t="str">
        <f t="shared" ref="K28:L28" si="48">IF($F28="BOTTOM RIGHT",C28,NA())</f>
        <v>#N/A</v>
      </c>
      <c r="L28" s="6" t="str">
        <f t="shared" si="48"/>
        <v>#N/A</v>
      </c>
      <c r="M28" s="1"/>
      <c r="N28" s="6" t="str">
        <f t="shared" ref="N28:O28" si="49">IF($F28="TOP LEFT",C28,NA())</f>
        <v>#N/A</v>
      </c>
      <c r="O28" s="6" t="str">
        <f t="shared" si="49"/>
        <v>#N/A</v>
      </c>
      <c r="P28" s="1"/>
      <c r="Q28" s="6">
        <f t="shared" ref="Q28:R28" si="50">IF($F28="BOTTOM LEFT",C28,NA())</f>
        <v>1</v>
      </c>
      <c r="R28" s="6">
        <f t="shared" si="50"/>
        <v>1</v>
      </c>
      <c r="S28" s="1"/>
      <c r="T28" s="6">
        <f t="shared" si="11"/>
        <v>398</v>
      </c>
      <c r="U28" s="6">
        <f t="shared" si="12"/>
        <v>49</v>
      </c>
      <c r="V28" s="1"/>
      <c r="W28" s="1"/>
      <c r="X28" s="1"/>
      <c r="Y28" s="1"/>
      <c r="Z28" s="1"/>
      <c r="AA28" s="1"/>
      <c r="AB28" s="1"/>
      <c r="AC28" s="1"/>
      <c r="AD28" s="1"/>
      <c r="AE28" s="1"/>
      <c r="AF28" s="1"/>
      <c r="AG28" s="1"/>
      <c r="AH28" s="1"/>
      <c r="AI28" s="11">
        <v>11.0</v>
      </c>
      <c r="AJ28" s="11" t="str">
        <f t="shared" si="13"/>
        <v>#50</v>
      </c>
      <c r="AK28" s="1"/>
      <c r="AL28" s="2" t="str">
        <f t="shared" si="14"/>
        <v>TOP RIGHT</v>
      </c>
    </row>
    <row r="29" ht="15.75" customHeight="1">
      <c r="A29" s="1"/>
      <c r="B29" s="11" t="s">
        <v>37</v>
      </c>
      <c r="C29" s="2">
        <v>2.0</v>
      </c>
      <c r="D29" s="2">
        <v>5.0</v>
      </c>
      <c r="E29" s="1"/>
      <c r="F29" s="6" t="str">
        <f t="shared" si="6"/>
        <v>TOP LEFT</v>
      </c>
      <c r="G29" s="1"/>
      <c r="H29" s="6" t="str">
        <f t="shared" ref="H29:I29" si="51">IF($F29="TOP RIGHT",C29,NA())</f>
        <v>#N/A</v>
      </c>
      <c r="I29" s="6" t="str">
        <f t="shared" si="51"/>
        <v>#N/A</v>
      </c>
      <c r="J29" s="1"/>
      <c r="K29" s="6" t="str">
        <f t="shared" ref="K29:L29" si="52">IF($F29="BOTTOM RIGHT",C29,NA())</f>
        <v>#N/A</v>
      </c>
      <c r="L29" s="6" t="str">
        <f t="shared" si="52"/>
        <v>#N/A</v>
      </c>
      <c r="M29" s="1"/>
      <c r="N29" s="6">
        <f t="shared" ref="N29:O29" si="53">IF($F29="TOP LEFT",C29,NA())</f>
        <v>2</v>
      </c>
      <c r="O29" s="6">
        <f t="shared" si="53"/>
        <v>5</v>
      </c>
      <c r="P29" s="1"/>
      <c r="Q29" s="6" t="str">
        <f t="shared" ref="Q29:R29" si="54">IF($F29="BOTTOM LEFT",C29,NA())</f>
        <v>#N/A</v>
      </c>
      <c r="R29" s="6" t="str">
        <f t="shared" si="54"/>
        <v>#N/A</v>
      </c>
      <c r="S29" s="1"/>
      <c r="T29" s="6">
        <f t="shared" si="11"/>
        <v>293</v>
      </c>
      <c r="U29" s="6">
        <f t="shared" si="12"/>
        <v>35</v>
      </c>
      <c r="V29" s="1"/>
      <c r="W29" s="1"/>
      <c r="X29" s="1"/>
      <c r="Y29" s="1"/>
      <c r="Z29" s="1"/>
      <c r="AA29" s="1"/>
      <c r="AB29" s="1"/>
      <c r="AC29" s="1"/>
      <c r="AD29" s="1"/>
      <c r="AE29" s="1"/>
      <c r="AF29" s="1"/>
      <c r="AG29" s="1"/>
      <c r="AH29" s="1"/>
      <c r="AI29" s="11">
        <v>12.0</v>
      </c>
      <c r="AJ29" s="11" t="str">
        <f t="shared" si="13"/>
        <v>#26</v>
      </c>
      <c r="AK29" s="1"/>
      <c r="AL29" s="2" t="str">
        <f t="shared" si="14"/>
        <v>TOP RIGHT</v>
      </c>
    </row>
    <row r="30" ht="15.75" customHeight="1">
      <c r="A30" s="1"/>
      <c r="B30" s="11" t="s">
        <v>38</v>
      </c>
      <c r="C30" s="2">
        <v>1.0</v>
      </c>
      <c r="D30" s="2">
        <v>1.0</v>
      </c>
      <c r="E30" s="1"/>
      <c r="F30" s="6" t="str">
        <f t="shared" si="6"/>
        <v>BOTTOM LEFT</v>
      </c>
      <c r="G30" s="1"/>
      <c r="H30" s="6" t="str">
        <f t="shared" ref="H30:I30" si="55">IF($F30="TOP RIGHT",C30,NA())</f>
        <v>#N/A</v>
      </c>
      <c r="I30" s="6" t="str">
        <f t="shared" si="55"/>
        <v>#N/A</v>
      </c>
      <c r="J30" s="1"/>
      <c r="K30" s="6" t="str">
        <f t="shared" ref="K30:L30" si="56">IF($F30="BOTTOM RIGHT",C30,NA())</f>
        <v>#N/A</v>
      </c>
      <c r="L30" s="6" t="str">
        <f t="shared" si="56"/>
        <v>#N/A</v>
      </c>
      <c r="M30" s="1"/>
      <c r="N30" s="6" t="str">
        <f t="shared" ref="N30:O30" si="57">IF($F30="TOP LEFT",C30,NA())</f>
        <v>#N/A</v>
      </c>
      <c r="O30" s="6" t="str">
        <f t="shared" si="57"/>
        <v>#N/A</v>
      </c>
      <c r="P30" s="1"/>
      <c r="Q30" s="6">
        <f t="shared" ref="Q30:R30" si="58">IF($F30="BOTTOM LEFT",C30,NA())</f>
        <v>1</v>
      </c>
      <c r="R30" s="6">
        <f t="shared" si="58"/>
        <v>1</v>
      </c>
      <c r="S30" s="1"/>
      <c r="T30" s="6">
        <f t="shared" si="11"/>
        <v>398</v>
      </c>
      <c r="U30" s="6">
        <f t="shared" si="12"/>
        <v>48</v>
      </c>
      <c r="V30" s="1"/>
      <c r="W30" s="1"/>
      <c r="X30" s="1"/>
      <c r="Y30" s="1"/>
      <c r="Z30" s="1"/>
      <c r="AA30" s="1"/>
      <c r="AB30" s="1"/>
      <c r="AC30" s="1"/>
      <c r="AD30" s="1"/>
      <c r="AE30" s="1"/>
      <c r="AF30" s="1"/>
      <c r="AG30" s="1"/>
      <c r="AH30" s="1"/>
      <c r="AI30" s="11">
        <v>13.0</v>
      </c>
      <c r="AJ30" s="11" t="str">
        <f t="shared" si="13"/>
        <v>#10</v>
      </c>
      <c r="AK30" s="1"/>
      <c r="AL30" s="2" t="str">
        <f t="shared" si="14"/>
        <v>TOP RIGHT</v>
      </c>
    </row>
    <row r="31" ht="15.75" customHeight="1">
      <c r="A31" s="1"/>
      <c r="B31" s="11" t="s">
        <v>39</v>
      </c>
      <c r="C31" s="2">
        <v>7.0</v>
      </c>
      <c r="D31" s="2">
        <v>6.0</v>
      </c>
      <c r="E31" s="1"/>
      <c r="F31" s="6" t="str">
        <f t="shared" si="6"/>
        <v>TOP RIGHT</v>
      </c>
      <c r="G31" s="1"/>
      <c r="H31" s="6">
        <f t="shared" ref="H31:I31" si="59">IF($F31="TOP RIGHT",C31,NA())</f>
        <v>7</v>
      </c>
      <c r="I31" s="6">
        <f t="shared" si="59"/>
        <v>6</v>
      </c>
      <c r="J31" s="1"/>
      <c r="K31" s="6" t="str">
        <f t="shared" ref="K31:L31" si="60">IF($F31="BOTTOM RIGHT",C31,NA())</f>
        <v>#N/A</v>
      </c>
      <c r="L31" s="6" t="str">
        <f t="shared" si="60"/>
        <v>#N/A</v>
      </c>
      <c r="M31" s="1"/>
      <c r="N31" s="6" t="str">
        <f t="shared" ref="N31:O31" si="61">IF($F31="TOP LEFT",C31,NA())</f>
        <v>#N/A</v>
      </c>
      <c r="O31" s="6" t="str">
        <f t="shared" si="61"/>
        <v>#N/A</v>
      </c>
      <c r="P31" s="1"/>
      <c r="Q31" s="6" t="str">
        <f t="shared" ref="Q31:R31" si="62">IF($F31="BOTTOM LEFT",C31,NA())</f>
        <v>#N/A</v>
      </c>
      <c r="R31" s="6" t="str">
        <f t="shared" si="62"/>
        <v>#N/A</v>
      </c>
      <c r="S31" s="1"/>
      <c r="T31" s="6">
        <f t="shared" si="11"/>
        <v>87</v>
      </c>
      <c r="U31" s="6">
        <f t="shared" si="12"/>
        <v>3</v>
      </c>
      <c r="V31" s="1"/>
      <c r="W31" s="1"/>
      <c r="X31" s="1"/>
      <c r="Y31" s="1"/>
      <c r="Z31" s="1"/>
      <c r="AA31" s="1"/>
      <c r="AB31" s="1"/>
      <c r="AC31" s="1"/>
      <c r="AD31" s="1"/>
      <c r="AE31" s="1"/>
      <c r="AF31" s="1"/>
      <c r="AG31" s="1"/>
      <c r="AH31" s="1"/>
      <c r="AI31" s="11">
        <v>14.0</v>
      </c>
      <c r="AJ31" s="11" t="str">
        <f t="shared" si="13"/>
        <v>#49</v>
      </c>
      <c r="AK31" s="1"/>
      <c r="AL31" s="2" t="str">
        <f t="shared" si="14"/>
        <v>BOTTOM RIGHT</v>
      </c>
    </row>
    <row r="32" ht="15.75" customHeight="1">
      <c r="A32" s="1"/>
      <c r="B32" s="11" t="s">
        <v>40</v>
      </c>
      <c r="C32" s="2">
        <v>4.0</v>
      </c>
      <c r="D32" s="2">
        <v>0.0</v>
      </c>
      <c r="E32" s="1"/>
      <c r="F32" s="6" t="str">
        <f t="shared" si="6"/>
        <v>BOTTOM LEFT</v>
      </c>
      <c r="G32" s="1"/>
      <c r="H32" s="6" t="str">
        <f t="shared" ref="H32:I32" si="63">IF($F32="TOP RIGHT",C32,NA())</f>
        <v>#N/A</v>
      </c>
      <c r="I32" s="6" t="str">
        <f t="shared" si="63"/>
        <v>#N/A</v>
      </c>
      <c r="J32" s="1"/>
      <c r="K32" s="6" t="str">
        <f t="shared" ref="K32:L32" si="64">IF($F32="BOTTOM RIGHT",C32,NA())</f>
        <v>#N/A</v>
      </c>
      <c r="L32" s="6" t="str">
        <f t="shared" si="64"/>
        <v>#N/A</v>
      </c>
      <c r="M32" s="1"/>
      <c r="N32" s="6" t="str">
        <f t="shared" ref="N32:O32" si="65">IF($F32="TOP LEFT",C32,NA())</f>
        <v>#N/A</v>
      </c>
      <c r="O32" s="6" t="str">
        <f t="shared" si="65"/>
        <v>#N/A</v>
      </c>
      <c r="P32" s="1"/>
      <c r="Q32" s="6">
        <f t="shared" ref="Q32:R32" si="66">IF($F32="BOTTOM LEFT",C32,NA())</f>
        <v>4</v>
      </c>
      <c r="R32" s="6">
        <f t="shared" si="66"/>
        <v>0</v>
      </c>
      <c r="S32" s="1"/>
      <c r="T32" s="6">
        <f t="shared" si="11"/>
        <v>396</v>
      </c>
      <c r="U32" s="6">
        <f t="shared" si="12"/>
        <v>45</v>
      </c>
      <c r="V32" s="1"/>
      <c r="W32" s="1"/>
      <c r="X32" s="1"/>
      <c r="Y32" s="1"/>
      <c r="Z32" s="1"/>
      <c r="AA32" s="1"/>
      <c r="AB32" s="1"/>
      <c r="AC32" s="1"/>
      <c r="AD32" s="1"/>
      <c r="AE32" s="1"/>
      <c r="AF32" s="1"/>
      <c r="AG32" s="1"/>
      <c r="AH32" s="1"/>
      <c r="AI32" s="11">
        <v>15.0</v>
      </c>
      <c r="AJ32" s="11" t="str">
        <f t="shared" si="13"/>
        <v>#19</v>
      </c>
      <c r="AK32" s="1"/>
      <c r="AL32" s="2" t="str">
        <f t="shared" si="14"/>
        <v>BOTTOM RIGHT</v>
      </c>
    </row>
    <row r="33" ht="15.75" customHeight="1">
      <c r="A33" s="1"/>
      <c r="B33" s="11" t="s">
        <v>41</v>
      </c>
      <c r="C33" s="2">
        <v>5.0</v>
      </c>
      <c r="D33" s="2">
        <v>1.0</v>
      </c>
      <c r="E33" s="1"/>
      <c r="F33" s="6" t="str">
        <f t="shared" si="6"/>
        <v>BOTTOM RIGHT</v>
      </c>
      <c r="G33" s="1"/>
      <c r="H33" s="6" t="str">
        <f t="shared" ref="H33:I33" si="67">IF($F33="TOP RIGHT",C33,NA())</f>
        <v>#N/A</v>
      </c>
      <c r="I33" s="6" t="str">
        <f t="shared" si="67"/>
        <v>#N/A</v>
      </c>
      <c r="J33" s="1"/>
      <c r="K33" s="6">
        <f t="shared" ref="K33:L33" si="68">IF($F33="BOTTOM RIGHT",C33,NA())</f>
        <v>5</v>
      </c>
      <c r="L33" s="6">
        <f t="shared" si="68"/>
        <v>1</v>
      </c>
      <c r="M33" s="1"/>
      <c r="N33" s="6" t="str">
        <f t="shared" ref="N33:O33" si="69">IF($F33="TOP LEFT",C33,NA())</f>
        <v>#N/A</v>
      </c>
      <c r="O33" s="6" t="str">
        <f t="shared" si="69"/>
        <v>#N/A</v>
      </c>
      <c r="P33" s="1"/>
      <c r="Q33" s="6" t="str">
        <f t="shared" ref="Q33:R33" si="70">IF($F33="BOTTOM LEFT",C33,NA())</f>
        <v>#N/A</v>
      </c>
      <c r="R33" s="6" t="str">
        <f t="shared" si="70"/>
        <v>#N/A</v>
      </c>
      <c r="S33" s="1"/>
      <c r="T33" s="6">
        <f t="shared" si="11"/>
        <v>194</v>
      </c>
      <c r="U33" s="6">
        <f t="shared" si="12"/>
        <v>30</v>
      </c>
      <c r="V33" s="1"/>
      <c r="W33" s="1"/>
      <c r="X33" s="1"/>
      <c r="Y33" s="1"/>
      <c r="Z33" s="1"/>
      <c r="AA33" s="1"/>
      <c r="AB33" s="1"/>
      <c r="AC33" s="1"/>
      <c r="AD33" s="1"/>
      <c r="AE33" s="1"/>
      <c r="AF33" s="1"/>
      <c r="AG33" s="1"/>
      <c r="AH33" s="1"/>
      <c r="AI33" s="11">
        <v>16.0</v>
      </c>
      <c r="AJ33" s="11" t="str">
        <f t="shared" si="13"/>
        <v>#39</v>
      </c>
      <c r="AK33" s="1"/>
      <c r="AL33" s="2" t="str">
        <f t="shared" si="14"/>
        <v>BOTTOM RIGHT</v>
      </c>
    </row>
    <row r="34" ht="15.75" customHeight="1">
      <c r="A34" s="1"/>
      <c r="B34" s="11" t="s">
        <v>42</v>
      </c>
      <c r="C34" s="2">
        <v>2.0</v>
      </c>
      <c r="D34" s="2">
        <v>4.0</v>
      </c>
      <c r="E34" s="1"/>
      <c r="F34" s="6" t="str">
        <f t="shared" si="6"/>
        <v>TOP LEFT</v>
      </c>
      <c r="G34" s="1"/>
      <c r="H34" s="6" t="str">
        <f t="shared" ref="H34:I34" si="71">IF($F34="TOP RIGHT",C34,NA())</f>
        <v>#N/A</v>
      </c>
      <c r="I34" s="6" t="str">
        <f t="shared" si="71"/>
        <v>#N/A</v>
      </c>
      <c r="J34" s="1"/>
      <c r="K34" s="6" t="str">
        <f t="shared" ref="K34:L34" si="72">IF($F34="BOTTOM RIGHT",C34,NA())</f>
        <v>#N/A</v>
      </c>
      <c r="L34" s="6" t="str">
        <f t="shared" si="72"/>
        <v>#N/A</v>
      </c>
      <c r="M34" s="1"/>
      <c r="N34" s="6">
        <f t="shared" ref="N34:O34" si="73">IF($F34="TOP LEFT",C34,NA())</f>
        <v>2</v>
      </c>
      <c r="O34" s="6">
        <f t="shared" si="73"/>
        <v>4</v>
      </c>
      <c r="P34" s="1"/>
      <c r="Q34" s="6" t="str">
        <f t="shared" ref="Q34:R34" si="74">IF($F34="BOTTOM LEFT",C34,NA())</f>
        <v>#N/A</v>
      </c>
      <c r="R34" s="6" t="str">
        <f t="shared" si="74"/>
        <v>#N/A</v>
      </c>
      <c r="S34" s="1"/>
      <c r="T34" s="6">
        <f t="shared" si="11"/>
        <v>294</v>
      </c>
      <c r="U34" s="6">
        <f t="shared" si="12"/>
        <v>38</v>
      </c>
      <c r="V34" s="1"/>
      <c r="W34" s="1"/>
      <c r="X34" s="1"/>
      <c r="Y34" s="1"/>
      <c r="Z34" s="1"/>
      <c r="AA34" s="1"/>
      <c r="AB34" s="1"/>
      <c r="AC34" s="1"/>
      <c r="AD34" s="1"/>
      <c r="AE34" s="1"/>
      <c r="AF34" s="1"/>
      <c r="AG34" s="1"/>
      <c r="AH34" s="1"/>
      <c r="AI34" s="11">
        <v>17.0</v>
      </c>
      <c r="AJ34" s="11" t="str">
        <f t="shared" si="13"/>
        <v>#8</v>
      </c>
      <c r="AK34" s="1"/>
      <c r="AL34" s="2" t="str">
        <f t="shared" si="14"/>
        <v>BOTTOM RIGHT</v>
      </c>
    </row>
    <row r="35" ht="15.75" customHeight="1">
      <c r="A35" s="1"/>
      <c r="B35" s="11" t="s">
        <v>43</v>
      </c>
      <c r="C35" s="2">
        <v>1.0</v>
      </c>
      <c r="D35" s="2">
        <v>3.0</v>
      </c>
      <c r="E35" s="1"/>
      <c r="F35" s="6" t="str">
        <f t="shared" si="6"/>
        <v>BOTTOM LEFT</v>
      </c>
      <c r="G35" s="1"/>
      <c r="H35" s="6" t="str">
        <f t="shared" ref="H35:I35" si="75">IF($F35="TOP RIGHT",C35,NA())</f>
        <v>#N/A</v>
      </c>
      <c r="I35" s="6" t="str">
        <f t="shared" si="75"/>
        <v>#N/A</v>
      </c>
      <c r="J35" s="1"/>
      <c r="K35" s="6" t="str">
        <f t="shared" ref="K35:L35" si="76">IF($F35="BOTTOM RIGHT",C35,NA())</f>
        <v>#N/A</v>
      </c>
      <c r="L35" s="6" t="str">
        <f t="shared" si="76"/>
        <v>#N/A</v>
      </c>
      <c r="M35" s="1"/>
      <c r="N35" s="6" t="str">
        <f t="shared" ref="N35:O35" si="77">IF($F35="TOP LEFT",C35,NA())</f>
        <v>#N/A</v>
      </c>
      <c r="O35" s="6" t="str">
        <f t="shared" si="77"/>
        <v>#N/A</v>
      </c>
      <c r="P35" s="1"/>
      <c r="Q35" s="6">
        <f t="shared" ref="Q35:R35" si="78">IF($F35="BOTTOM LEFT",C35,NA())</f>
        <v>1</v>
      </c>
      <c r="R35" s="6">
        <f t="shared" si="78"/>
        <v>3</v>
      </c>
      <c r="S35" s="1"/>
      <c r="T35" s="6">
        <f t="shared" si="11"/>
        <v>396</v>
      </c>
      <c r="U35" s="6">
        <f t="shared" si="12"/>
        <v>44</v>
      </c>
      <c r="V35" s="1"/>
      <c r="W35" s="1"/>
      <c r="X35" s="1"/>
      <c r="Y35" s="1"/>
      <c r="Z35" s="1"/>
      <c r="AA35" s="1"/>
      <c r="AB35" s="1"/>
      <c r="AC35" s="1"/>
      <c r="AD35" s="1"/>
      <c r="AE35" s="1"/>
      <c r="AF35" s="1"/>
      <c r="AG35" s="1"/>
      <c r="AH35" s="1"/>
      <c r="AI35" s="11">
        <v>18.0</v>
      </c>
      <c r="AJ35" s="11" t="str">
        <f t="shared" si="13"/>
        <v>#47</v>
      </c>
      <c r="AK35" s="1"/>
      <c r="AL35" s="2" t="str">
        <f t="shared" si="14"/>
        <v>BOTTOM RIGHT</v>
      </c>
    </row>
    <row r="36" ht="15.75" customHeight="1">
      <c r="A36" s="1"/>
      <c r="B36" s="11" t="s">
        <v>44</v>
      </c>
      <c r="C36" s="2">
        <v>8.0</v>
      </c>
      <c r="D36" s="2">
        <v>2.0</v>
      </c>
      <c r="E36" s="1"/>
      <c r="F36" s="6" t="str">
        <f t="shared" si="6"/>
        <v>BOTTOM RIGHT</v>
      </c>
      <c r="G36" s="1"/>
      <c r="H36" s="6" t="str">
        <f t="shared" ref="H36:I36" si="79">IF($F36="TOP RIGHT",C36,NA())</f>
        <v>#N/A</v>
      </c>
      <c r="I36" s="6" t="str">
        <f t="shared" si="79"/>
        <v>#N/A</v>
      </c>
      <c r="J36" s="1"/>
      <c r="K36" s="6">
        <f t="shared" ref="K36:L36" si="80">IF($F36="BOTTOM RIGHT",C36,NA())</f>
        <v>8</v>
      </c>
      <c r="L36" s="6">
        <f t="shared" si="80"/>
        <v>2</v>
      </c>
      <c r="M36" s="1"/>
      <c r="N36" s="6" t="str">
        <f t="shared" ref="N36:O36" si="81">IF($F36="TOP LEFT",C36,NA())</f>
        <v>#N/A</v>
      </c>
      <c r="O36" s="6" t="str">
        <f t="shared" si="81"/>
        <v>#N/A</v>
      </c>
      <c r="P36" s="1"/>
      <c r="Q36" s="6" t="str">
        <f t="shared" ref="Q36:R36" si="82">IF($F36="BOTTOM LEFT",C36,NA())</f>
        <v>#N/A</v>
      </c>
      <c r="R36" s="6" t="str">
        <f t="shared" si="82"/>
        <v>#N/A</v>
      </c>
      <c r="S36" s="1"/>
      <c r="T36" s="6">
        <f t="shared" si="11"/>
        <v>190</v>
      </c>
      <c r="U36" s="6">
        <f t="shared" si="12"/>
        <v>15</v>
      </c>
      <c r="V36" s="1"/>
      <c r="W36" s="1"/>
      <c r="X36" s="1"/>
      <c r="Y36" s="1"/>
      <c r="Z36" s="1"/>
      <c r="AA36" s="1"/>
      <c r="AB36" s="1"/>
      <c r="AC36" s="1"/>
      <c r="AD36" s="1"/>
      <c r="AE36" s="1"/>
      <c r="AF36" s="1"/>
      <c r="AG36" s="1"/>
      <c r="AH36" s="1"/>
      <c r="AI36" s="11">
        <v>19.0</v>
      </c>
      <c r="AJ36" s="11" t="str">
        <f t="shared" si="13"/>
        <v>#40</v>
      </c>
      <c r="AK36" s="1"/>
      <c r="AL36" s="2" t="str">
        <f t="shared" si="14"/>
        <v>BOTTOM RIGHT</v>
      </c>
    </row>
    <row r="37" ht="15.75" customHeight="1">
      <c r="A37" s="1"/>
      <c r="B37" s="11" t="s">
        <v>45</v>
      </c>
      <c r="C37" s="2">
        <v>6.0</v>
      </c>
      <c r="D37" s="2">
        <v>4.0</v>
      </c>
      <c r="E37" s="1"/>
      <c r="F37" s="6" t="str">
        <f t="shared" si="6"/>
        <v>TOP RIGHT</v>
      </c>
      <c r="G37" s="1"/>
      <c r="H37" s="6">
        <f t="shared" ref="H37:I37" si="83">IF($F37="TOP RIGHT",C37,NA())</f>
        <v>6</v>
      </c>
      <c r="I37" s="6">
        <f t="shared" si="83"/>
        <v>4</v>
      </c>
      <c r="J37" s="1"/>
      <c r="K37" s="6" t="str">
        <f t="shared" ref="K37:L37" si="84">IF($F37="BOTTOM RIGHT",C37,NA())</f>
        <v>#N/A</v>
      </c>
      <c r="L37" s="6" t="str">
        <f t="shared" si="84"/>
        <v>#N/A</v>
      </c>
      <c r="M37" s="1"/>
      <c r="N37" s="6" t="str">
        <f t="shared" ref="N37:O37" si="85">IF($F37="TOP LEFT",C37,NA())</f>
        <v>#N/A</v>
      </c>
      <c r="O37" s="6" t="str">
        <f t="shared" si="85"/>
        <v>#N/A</v>
      </c>
      <c r="P37" s="1"/>
      <c r="Q37" s="6" t="str">
        <f t="shared" ref="Q37:R37" si="86">IF($F37="BOTTOM LEFT",C37,NA())</f>
        <v>#N/A</v>
      </c>
      <c r="R37" s="6" t="str">
        <f t="shared" si="86"/>
        <v>#N/A</v>
      </c>
      <c r="S37" s="1"/>
      <c r="T37" s="6">
        <f t="shared" si="11"/>
        <v>90</v>
      </c>
      <c r="U37" s="6">
        <f t="shared" si="12"/>
        <v>8</v>
      </c>
      <c r="V37" s="1"/>
      <c r="W37" s="1"/>
      <c r="X37" s="1"/>
      <c r="Y37" s="1"/>
      <c r="Z37" s="1"/>
      <c r="AA37" s="1"/>
      <c r="AB37" s="1"/>
      <c r="AC37" s="1"/>
      <c r="AD37" s="1"/>
      <c r="AE37" s="1"/>
      <c r="AF37" s="1"/>
      <c r="AG37" s="1"/>
      <c r="AH37" s="1"/>
      <c r="AI37" s="11">
        <v>20.0</v>
      </c>
      <c r="AJ37" s="11" t="str">
        <f t="shared" si="13"/>
        <v>#35</v>
      </c>
      <c r="AK37" s="1"/>
      <c r="AL37" s="2" t="str">
        <f t="shared" si="14"/>
        <v>BOTTOM RIGHT</v>
      </c>
    </row>
    <row r="38" ht="15.75" customHeight="1">
      <c r="A38" s="1"/>
      <c r="B38" s="11" t="s">
        <v>46</v>
      </c>
      <c r="C38" s="2">
        <v>7.0</v>
      </c>
      <c r="D38" s="2">
        <v>0.0</v>
      </c>
      <c r="E38" s="1"/>
      <c r="F38" s="6" t="str">
        <f t="shared" si="6"/>
        <v>BOTTOM RIGHT</v>
      </c>
      <c r="G38" s="1"/>
      <c r="H38" s="6" t="str">
        <f t="shared" ref="H38:I38" si="87">IF($F38="TOP RIGHT",C38,NA())</f>
        <v>#N/A</v>
      </c>
      <c r="I38" s="6" t="str">
        <f t="shared" si="87"/>
        <v>#N/A</v>
      </c>
      <c r="J38" s="1"/>
      <c r="K38" s="6">
        <f t="shared" ref="K38:L38" si="88">IF($F38="BOTTOM RIGHT",C38,NA())</f>
        <v>7</v>
      </c>
      <c r="L38" s="6">
        <f t="shared" si="88"/>
        <v>0</v>
      </c>
      <c r="M38" s="1"/>
      <c r="N38" s="6" t="str">
        <f t="shared" ref="N38:O38" si="89">IF($F38="TOP LEFT",C38,NA())</f>
        <v>#N/A</v>
      </c>
      <c r="O38" s="6" t="str">
        <f t="shared" si="89"/>
        <v>#N/A</v>
      </c>
      <c r="P38" s="1"/>
      <c r="Q38" s="6" t="str">
        <f t="shared" ref="Q38:R38" si="90">IF($F38="BOTTOM LEFT",C38,NA())</f>
        <v>#N/A</v>
      </c>
      <c r="R38" s="6" t="str">
        <f t="shared" si="90"/>
        <v>#N/A</v>
      </c>
      <c r="S38" s="1"/>
      <c r="T38" s="6">
        <f t="shared" si="11"/>
        <v>193</v>
      </c>
      <c r="U38" s="6">
        <f t="shared" si="12"/>
        <v>27</v>
      </c>
      <c r="V38" s="1"/>
      <c r="W38" s="1"/>
      <c r="X38" s="1"/>
      <c r="Y38" s="1"/>
      <c r="Z38" s="1"/>
      <c r="AA38" s="1"/>
      <c r="AB38" s="1"/>
      <c r="AC38" s="1"/>
      <c r="AD38" s="1"/>
      <c r="AE38" s="1"/>
      <c r="AF38" s="1"/>
      <c r="AG38" s="1"/>
      <c r="AH38" s="1"/>
      <c r="AI38" s="11">
        <v>21.0</v>
      </c>
      <c r="AJ38" s="11" t="str">
        <f t="shared" si="13"/>
        <v>#24</v>
      </c>
      <c r="AK38" s="1"/>
      <c r="AL38" s="2" t="str">
        <f t="shared" si="14"/>
        <v>BOTTOM RIGHT</v>
      </c>
    </row>
    <row r="39" ht="15.75" customHeight="1">
      <c r="A39" s="1"/>
      <c r="B39" s="11" t="s">
        <v>47</v>
      </c>
      <c r="C39" s="2">
        <v>8.0</v>
      </c>
      <c r="D39" s="2">
        <v>3.0</v>
      </c>
      <c r="E39" s="1"/>
      <c r="F39" s="6" t="str">
        <f t="shared" si="6"/>
        <v>TOP RIGHT</v>
      </c>
      <c r="G39" s="1"/>
      <c r="H39" s="6">
        <f t="shared" ref="H39:I39" si="91">IF($F39="TOP RIGHT",C39,NA())</f>
        <v>8</v>
      </c>
      <c r="I39" s="6">
        <f t="shared" si="91"/>
        <v>3</v>
      </c>
      <c r="J39" s="1"/>
      <c r="K39" s="6" t="str">
        <f t="shared" ref="K39:L39" si="92">IF($F39="BOTTOM RIGHT",C39,NA())</f>
        <v>#N/A</v>
      </c>
      <c r="L39" s="6" t="str">
        <f t="shared" si="92"/>
        <v>#N/A</v>
      </c>
      <c r="M39" s="1"/>
      <c r="N39" s="6" t="str">
        <f t="shared" ref="N39:O39" si="93">IF($F39="TOP LEFT",C39,NA())</f>
        <v>#N/A</v>
      </c>
      <c r="O39" s="6" t="str">
        <f t="shared" si="93"/>
        <v>#N/A</v>
      </c>
      <c r="P39" s="1"/>
      <c r="Q39" s="6" t="str">
        <f t="shared" ref="Q39:R39" si="94">IF($F39="BOTTOM LEFT",C39,NA())</f>
        <v>#N/A</v>
      </c>
      <c r="R39" s="6" t="str">
        <f t="shared" si="94"/>
        <v>#N/A</v>
      </c>
      <c r="S39" s="1"/>
      <c r="T39" s="6">
        <f t="shared" si="11"/>
        <v>89</v>
      </c>
      <c r="U39" s="6">
        <f t="shared" si="12"/>
        <v>6</v>
      </c>
      <c r="V39" s="1"/>
      <c r="W39" s="1"/>
      <c r="X39" s="1"/>
      <c r="Y39" s="1"/>
      <c r="Z39" s="1"/>
      <c r="AA39" s="1"/>
      <c r="AB39" s="1"/>
      <c r="AC39" s="1"/>
      <c r="AD39" s="1"/>
      <c r="AE39" s="1"/>
      <c r="AF39" s="1"/>
      <c r="AG39" s="1"/>
      <c r="AH39" s="1"/>
      <c r="AI39" s="11">
        <v>22.0</v>
      </c>
      <c r="AJ39" s="11" t="str">
        <f t="shared" si="13"/>
        <v>#46</v>
      </c>
      <c r="AK39" s="1"/>
      <c r="AL39" s="2" t="str">
        <f t="shared" si="14"/>
        <v>BOTTOM RIGHT</v>
      </c>
    </row>
    <row r="40" ht="15.75" customHeight="1">
      <c r="A40" s="1"/>
      <c r="B40" s="11" t="s">
        <v>48</v>
      </c>
      <c r="C40" s="2">
        <v>6.0</v>
      </c>
      <c r="D40" s="2">
        <v>1.0</v>
      </c>
      <c r="E40" s="1"/>
      <c r="F40" s="6" t="str">
        <f t="shared" si="6"/>
        <v>BOTTOM RIGHT</v>
      </c>
      <c r="G40" s="1"/>
      <c r="H40" s="6" t="str">
        <f t="shared" ref="H40:I40" si="95">IF($F40="TOP RIGHT",C40,NA())</f>
        <v>#N/A</v>
      </c>
      <c r="I40" s="6" t="str">
        <f t="shared" si="95"/>
        <v>#N/A</v>
      </c>
      <c r="J40" s="1"/>
      <c r="K40" s="6">
        <f t="shared" ref="K40:L40" si="96">IF($F40="BOTTOM RIGHT",C40,NA())</f>
        <v>6</v>
      </c>
      <c r="L40" s="6">
        <f t="shared" si="96"/>
        <v>1</v>
      </c>
      <c r="M40" s="1"/>
      <c r="N40" s="6" t="str">
        <f t="shared" ref="N40:O40" si="97">IF($F40="TOP LEFT",C40,NA())</f>
        <v>#N/A</v>
      </c>
      <c r="O40" s="6" t="str">
        <f t="shared" si="97"/>
        <v>#N/A</v>
      </c>
      <c r="P40" s="1"/>
      <c r="Q40" s="6" t="str">
        <f t="shared" ref="Q40:R40" si="98">IF($F40="BOTTOM LEFT",C40,NA())</f>
        <v>#N/A</v>
      </c>
      <c r="R40" s="6" t="str">
        <f t="shared" si="98"/>
        <v>#N/A</v>
      </c>
      <c r="S40" s="1"/>
      <c r="T40" s="6">
        <f t="shared" si="11"/>
        <v>193</v>
      </c>
      <c r="U40" s="6">
        <f t="shared" si="12"/>
        <v>26</v>
      </c>
      <c r="V40" s="1"/>
      <c r="W40" s="1"/>
      <c r="X40" s="1"/>
      <c r="Y40" s="1"/>
      <c r="Z40" s="1"/>
      <c r="AA40" s="1"/>
      <c r="AB40" s="1"/>
      <c r="AC40" s="1"/>
      <c r="AD40" s="1"/>
      <c r="AE40" s="1"/>
      <c r="AF40" s="1"/>
      <c r="AG40" s="1"/>
      <c r="AH40" s="1"/>
      <c r="AI40" s="11">
        <v>23.0</v>
      </c>
      <c r="AJ40" s="11" t="str">
        <f t="shared" si="13"/>
        <v>#38</v>
      </c>
      <c r="AK40" s="1"/>
      <c r="AL40" s="2" t="str">
        <f t="shared" si="14"/>
        <v>BOTTOM RIGHT</v>
      </c>
    </row>
    <row r="41" ht="15.75" customHeight="1">
      <c r="A41" s="1"/>
      <c r="B41" s="11" t="s">
        <v>49</v>
      </c>
      <c r="C41" s="2">
        <v>7.0</v>
      </c>
      <c r="D41" s="2">
        <v>1.0</v>
      </c>
      <c r="E41" s="1"/>
      <c r="F41" s="6" t="str">
        <f t="shared" si="6"/>
        <v>BOTTOM RIGHT</v>
      </c>
      <c r="G41" s="1"/>
      <c r="H41" s="6" t="str">
        <f t="shared" ref="H41:I41" si="99">IF($F41="TOP RIGHT",C41,NA())</f>
        <v>#N/A</v>
      </c>
      <c r="I41" s="6" t="str">
        <f t="shared" si="99"/>
        <v>#N/A</v>
      </c>
      <c r="J41" s="1"/>
      <c r="K41" s="6">
        <f t="shared" ref="K41:L41" si="100">IF($F41="BOTTOM RIGHT",C41,NA())</f>
        <v>7</v>
      </c>
      <c r="L41" s="6">
        <f t="shared" si="100"/>
        <v>1</v>
      </c>
      <c r="M41" s="1"/>
      <c r="N41" s="6" t="str">
        <f t="shared" ref="N41:O41" si="101">IF($F41="TOP LEFT",C41,NA())</f>
        <v>#N/A</v>
      </c>
      <c r="O41" s="6" t="str">
        <f t="shared" si="101"/>
        <v>#N/A</v>
      </c>
      <c r="P41" s="1"/>
      <c r="Q41" s="6" t="str">
        <f t="shared" ref="Q41:R41" si="102">IF($F41="BOTTOM LEFT",C41,NA())</f>
        <v>#N/A</v>
      </c>
      <c r="R41" s="6" t="str">
        <f t="shared" si="102"/>
        <v>#N/A</v>
      </c>
      <c r="S41" s="1"/>
      <c r="T41" s="6">
        <f t="shared" si="11"/>
        <v>192</v>
      </c>
      <c r="U41" s="6">
        <f t="shared" si="12"/>
        <v>21</v>
      </c>
      <c r="V41" s="1"/>
      <c r="W41" s="1"/>
      <c r="X41" s="1"/>
      <c r="Y41" s="1"/>
      <c r="Z41" s="1"/>
      <c r="AA41" s="1"/>
      <c r="AB41" s="1"/>
      <c r="AC41" s="1"/>
      <c r="AD41" s="1"/>
      <c r="AE41" s="1"/>
      <c r="AF41" s="1"/>
      <c r="AG41" s="1"/>
      <c r="AH41" s="1"/>
      <c r="AI41" s="11">
        <v>24.0</v>
      </c>
      <c r="AJ41" s="11" t="str">
        <f t="shared" si="13"/>
        <v>#32</v>
      </c>
      <c r="AK41" s="1"/>
      <c r="AL41" s="2" t="str">
        <f t="shared" si="14"/>
        <v>BOTTOM RIGHT</v>
      </c>
    </row>
    <row r="42" ht="15.75" customHeight="1">
      <c r="A42" s="1"/>
      <c r="B42" s="11" t="s">
        <v>50</v>
      </c>
      <c r="C42" s="2">
        <v>7.0</v>
      </c>
      <c r="D42" s="2">
        <v>5.0</v>
      </c>
      <c r="E42" s="1"/>
      <c r="F42" s="6" t="str">
        <f t="shared" si="6"/>
        <v>TOP RIGHT</v>
      </c>
      <c r="G42" s="1"/>
      <c r="H42" s="6">
        <f t="shared" ref="H42:I42" si="103">IF($F42="TOP RIGHT",C42,NA())</f>
        <v>7</v>
      </c>
      <c r="I42" s="6">
        <f t="shared" si="103"/>
        <v>5</v>
      </c>
      <c r="J42" s="1"/>
      <c r="K42" s="6" t="str">
        <f t="shared" ref="K42:L42" si="104">IF($F42="BOTTOM RIGHT",C42,NA())</f>
        <v>#N/A</v>
      </c>
      <c r="L42" s="6" t="str">
        <f t="shared" si="104"/>
        <v>#N/A</v>
      </c>
      <c r="M42" s="1"/>
      <c r="N42" s="6" t="str">
        <f t="shared" ref="N42:O42" si="105">IF($F42="TOP LEFT",C42,NA())</f>
        <v>#N/A</v>
      </c>
      <c r="O42" s="6" t="str">
        <f t="shared" si="105"/>
        <v>#N/A</v>
      </c>
      <c r="P42" s="1"/>
      <c r="Q42" s="6" t="str">
        <f t="shared" ref="Q42:R42" si="106">IF($F42="BOTTOM LEFT",C42,NA())</f>
        <v>#N/A</v>
      </c>
      <c r="R42" s="6" t="str">
        <f t="shared" si="106"/>
        <v>#N/A</v>
      </c>
      <c r="S42" s="1"/>
      <c r="T42" s="6">
        <f t="shared" si="11"/>
        <v>88</v>
      </c>
      <c r="U42" s="6">
        <f t="shared" si="12"/>
        <v>4</v>
      </c>
      <c r="V42" s="1"/>
      <c r="W42" s="1"/>
      <c r="X42" s="1"/>
      <c r="Y42" s="1"/>
      <c r="Z42" s="1"/>
      <c r="AA42" s="1"/>
      <c r="AB42" s="1"/>
      <c r="AC42" s="1"/>
      <c r="AD42" s="1"/>
      <c r="AE42" s="1"/>
      <c r="AF42" s="1"/>
      <c r="AG42" s="1"/>
      <c r="AH42" s="1"/>
      <c r="AI42" s="11">
        <v>25.0</v>
      </c>
      <c r="AJ42" s="11" t="str">
        <f t="shared" si="13"/>
        <v>#29</v>
      </c>
      <c r="AK42" s="1"/>
      <c r="AL42" s="2" t="str">
        <f t="shared" si="14"/>
        <v>BOTTOM RIGHT</v>
      </c>
    </row>
    <row r="43" ht="15.75" customHeight="1">
      <c r="A43" s="1"/>
      <c r="B43" s="11" t="s">
        <v>51</v>
      </c>
      <c r="C43" s="2">
        <v>5.0</v>
      </c>
      <c r="D43" s="2">
        <v>3.0</v>
      </c>
      <c r="E43" s="1"/>
      <c r="F43" s="6" t="str">
        <f t="shared" si="6"/>
        <v>TOP RIGHT</v>
      </c>
      <c r="G43" s="1"/>
      <c r="H43" s="6">
        <f t="shared" ref="H43:I43" si="107">IF($F43="TOP RIGHT",C43,NA())</f>
        <v>5</v>
      </c>
      <c r="I43" s="6">
        <f t="shared" si="107"/>
        <v>3</v>
      </c>
      <c r="J43" s="1"/>
      <c r="K43" s="6" t="str">
        <f t="shared" ref="K43:L43" si="108">IF($F43="BOTTOM RIGHT",C43,NA())</f>
        <v>#N/A</v>
      </c>
      <c r="L43" s="6" t="str">
        <f t="shared" si="108"/>
        <v>#N/A</v>
      </c>
      <c r="M43" s="1"/>
      <c r="N43" s="6" t="str">
        <f t="shared" ref="N43:O43" si="109">IF($F43="TOP LEFT",C43,NA())</f>
        <v>#N/A</v>
      </c>
      <c r="O43" s="6" t="str">
        <f t="shared" si="109"/>
        <v>#N/A</v>
      </c>
      <c r="P43" s="1"/>
      <c r="Q43" s="6" t="str">
        <f t="shared" ref="Q43:R43" si="110">IF($F43="BOTTOM LEFT",C43,NA())</f>
        <v>#N/A</v>
      </c>
      <c r="R43" s="6" t="str">
        <f t="shared" si="110"/>
        <v>#N/A</v>
      </c>
      <c r="S43" s="1"/>
      <c r="T43" s="6">
        <f t="shared" si="11"/>
        <v>92</v>
      </c>
      <c r="U43" s="6">
        <f t="shared" si="12"/>
        <v>12</v>
      </c>
      <c r="V43" s="1"/>
      <c r="W43" s="1"/>
      <c r="X43" s="1"/>
      <c r="Y43" s="1"/>
      <c r="Z43" s="1"/>
      <c r="AA43" s="1"/>
      <c r="AB43" s="1"/>
      <c r="AC43" s="1"/>
      <c r="AD43" s="1"/>
      <c r="AE43" s="1"/>
      <c r="AF43" s="1"/>
      <c r="AG43" s="1"/>
      <c r="AH43" s="1"/>
      <c r="AI43" s="11">
        <v>26.0</v>
      </c>
      <c r="AJ43" s="11" t="str">
        <f t="shared" si="13"/>
        <v>#23</v>
      </c>
      <c r="AK43" s="1"/>
      <c r="AL43" s="2" t="str">
        <f t="shared" si="14"/>
        <v>BOTTOM RIGHT</v>
      </c>
    </row>
    <row r="44" ht="15.75" customHeight="1">
      <c r="A44" s="1"/>
      <c r="B44" s="11" t="s">
        <v>52</v>
      </c>
      <c r="C44" s="2">
        <v>5.0</v>
      </c>
      <c r="D44" s="2">
        <v>1.0</v>
      </c>
      <c r="E44" s="1"/>
      <c r="F44" s="6" t="str">
        <f t="shared" si="6"/>
        <v>BOTTOM RIGHT</v>
      </c>
      <c r="G44" s="1"/>
      <c r="H44" s="6" t="str">
        <f t="shared" ref="H44:I44" si="111">IF($F44="TOP RIGHT",C44,NA())</f>
        <v>#N/A</v>
      </c>
      <c r="I44" s="6" t="str">
        <f t="shared" si="111"/>
        <v>#N/A</v>
      </c>
      <c r="J44" s="1"/>
      <c r="K44" s="6">
        <f t="shared" ref="K44:L44" si="112">IF($F44="BOTTOM RIGHT",C44,NA())</f>
        <v>5</v>
      </c>
      <c r="L44" s="6">
        <f t="shared" si="112"/>
        <v>1</v>
      </c>
      <c r="M44" s="1"/>
      <c r="N44" s="6" t="str">
        <f t="shared" ref="N44:O44" si="113">IF($F44="TOP LEFT",C44,NA())</f>
        <v>#N/A</v>
      </c>
      <c r="O44" s="6" t="str">
        <f t="shared" si="113"/>
        <v>#N/A</v>
      </c>
      <c r="P44" s="1"/>
      <c r="Q44" s="6" t="str">
        <f t="shared" ref="Q44:R44" si="114">IF($F44="BOTTOM LEFT",C44,NA())</f>
        <v>#N/A</v>
      </c>
      <c r="R44" s="6" t="str">
        <f t="shared" si="114"/>
        <v>#N/A</v>
      </c>
      <c r="S44" s="1"/>
      <c r="T44" s="6">
        <f t="shared" si="11"/>
        <v>194</v>
      </c>
      <c r="U44" s="6">
        <f t="shared" si="12"/>
        <v>29</v>
      </c>
      <c r="V44" s="1"/>
      <c r="W44" s="1"/>
      <c r="X44" s="1"/>
      <c r="Y44" s="1"/>
      <c r="Z44" s="1"/>
      <c r="AA44" s="1"/>
      <c r="AB44" s="1"/>
      <c r="AC44" s="1"/>
      <c r="AD44" s="1"/>
      <c r="AE44" s="1"/>
      <c r="AF44" s="1"/>
      <c r="AG44" s="1"/>
      <c r="AH44" s="1"/>
      <c r="AI44" s="11">
        <v>27.0</v>
      </c>
      <c r="AJ44" s="11" t="str">
        <f t="shared" si="13"/>
        <v>#21</v>
      </c>
      <c r="AK44" s="1"/>
      <c r="AL44" s="2" t="str">
        <f t="shared" si="14"/>
        <v>BOTTOM RIGHT</v>
      </c>
    </row>
    <row r="45" ht="15.75" customHeight="1">
      <c r="A45" s="1"/>
      <c r="B45" s="11" t="s">
        <v>53</v>
      </c>
      <c r="C45" s="2">
        <v>7.0</v>
      </c>
      <c r="D45" s="2">
        <v>6.0</v>
      </c>
      <c r="E45" s="1"/>
      <c r="F45" s="6" t="str">
        <f t="shared" si="6"/>
        <v>TOP RIGHT</v>
      </c>
      <c r="G45" s="1"/>
      <c r="H45" s="6">
        <f t="shared" ref="H45:I45" si="115">IF($F45="TOP RIGHT",C45,NA())</f>
        <v>7</v>
      </c>
      <c r="I45" s="6">
        <f t="shared" si="115"/>
        <v>6</v>
      </c>
      <c r="J45" s="1"/>
      <c r="K45" s="6" t="str">
        <f t="shared" ref="K45:L45" si="116">IF($F45="BOTTOM RIGHT",C45,NA())</f>
        <v>#N/A</v>
      </c>
      <c r="L45" s="6" t="str">
        <f t="shared" si="116"/>
        <v>#N/A</v>
      </c>
      <c r="M45" s="1"/>
      <c r="N45" s="6" t="str">
        <f t="shared" ref="N45:O45" si="117">IF($F45="TOP LEFT",C45,NA())</f>
        <v>#N/A</v>
      </c>
      <c r="O45" s="6" t="str">
        <f t="shared" si="117"/>
        <v>#N/A</v>
      </c>
      <c r="P45" s="1"/>
      <c r="Q45" s="6" t="str">
        <f t="shared" ref="Q45:R45" si="118">IF($F45="BOTTOM LEFT",C45,NA())</f>
        <v>#N/A</v>
      </c>
      <c r="R45" s="6" t="str">
        <f t="shared" si="118"/>
        <v>#N/A</v>
      </c>
      <c r="S45" s="1"/>
      <c r="T45" s="6">
        <f t="shared" si="11"/>
        <v>87</v>
      </c>
      <c r="U45" s="6">
        <f t="shared" si="12"/>
        <v>2</v>
      </c>
      <c r="V45" s="1"/>
      <c r="W45" s="1"/>
      <c r="X45" s="1"/>
      <c r="Y45" s="1"/>
      <c r="Z45" s="1"/>
      <c r="AA45" s="1"/>
      <c r="AB45" s="1"/>
      <c r="AC45" s="1"/>
      <c r="AD45" s="1"/>
      <c r="AE45" s="1"/>
      <c r="AF45" s="1"/>
      <c r="AG45" s="1"/>
      <c r="AH45" s="1"/>
      <c r="AI45" s="11">
        <v>28.0</v>
      </c>
      <c r="AJ45" s="11" t="str">
        <f t="shared" si="13"/>
        <v>#45</v>
      </c>
      <c r="AK45" s="1"/>
      <c r="AL45" s="2" t="str">
        <f t="shared" si="14"/>
        <v>BOTTOM RIGHT</v>
      </c>
    </row>
    <row r="46" ht="15.75" customHeight="1">
      <c r="A46" s="1"/>
      <c r="B46" s="11" t="s">
        <v>54</v>
      </c>
      <c r="C46" s="2">
        <v>6.0</v>
      </c>
      <c r="D46" s="2">
        <v>1.0</v>
      </c>
      <c r="E46" s="1"/>
      <c r="F46" s="6" t="str">
        <f t="shared" si="6"/>
        <v>BOTTOM RIGHT</v>
      </c>
      <c r="G46" s="1"/>
      <c r="H46" s="6" t="str">
        <f t="shared" ref="H46:I46" si="119">IF($F46="TOP RIGHT",C46,NA())</f>
        <v>#N/A</v>
      </c>
      <c r="I46" s="6" t="str">
        <f t="shared" si="119"/>
        <v>#N/A</v>
      </c>
      <c r="J46" s="1"/>
      <c r="K46" s="6">
        <f t="shared" ref="K46:L46" si="120">IF($F46="BOTTOM RIGHT",C46,NA())</f>
        <v>6</v>
      </c>
      <c r="L46" s="6">
        <f t="shared" si="120"/>
        <v>1</v>
      </c>
      <c r="M46" s="1"/>
      <c r="N46" s="6" t="str">
        <f t="shared" ref="N46:O46" si="121">IF($F46="TOP LEFT",C46,NA())</f>
        <v>#N/A</v>
      </c>
      <c r="O46" s="6" t="str">
        <f t="shared" si="121"/>
        <v>#N/A</v>
      </c>
      <c r="P46" s="1"/>
      <c r="Q46" s="6" t="str">
        <f t="shared" ref="Q46:R46" si="122">IF($F46="BOTTOM LEFT",C46,NA())</f>
        <v>#N/A</v>
      </c>
      <c r="R46" s="6" t="str">
        <f t="shared" si="122"/>
        <v>#N/A</v>
      </c>
      <c r="S46" s="1"/>
      <c r="T46" s="6">
        <f t="shared" si="11"/>
        <v>193</v>
      </c>
      <c r="U46" s="6">
        <f t="shared" si="12"/>
        <v>25</v>
      </c>
      <c r="V46" s="1"/>
      <c r="W46" s="1"/>
      <c r="X46" s="1"/>
      <c r="Y46" s="1"/>
      <c r="Z46" s="1"/>
      <c r="AA46" s="1"/>
      <c r="AB46" s="1"/>
      <c r="AC46" s="1"/>
      <c r="AD46" s="1"/>
      <c r="AE46" s="1"/>
      <c r="AF46" s="1"/>
      <c r="AG46" s="1"/>
      <c r="AH46" s="1"/>
      <c r="AI46" s="11">
        <v>29.0</v>
      </c>
      <c r="AJ46" s="11" t="str">
        <f t="shared" si="13"/>
        <v>#27</v>
      </c>
      <c r="AK46" s="1"/>
      <c r="AL46" s="2" t="str">
        <f t="shared" si="14"/>
        <v>BOTTOM RIGHT</v>
      </c>
    </row>
    <row r="47" ht="15.75" customHeight="1">
      <c r="A47" s="1"/>
      <c r="B47" s="11" t="s">
        <v>55</v>
      </c>
      <c r="C47" s="2">
        <v>8.0</v>
      </c>
      <c r="D47" s="2">
        <v>3.0</v>
      </c>
      <c r="E47" s="1"/>
      <c r="F47" s="6" t="str">
        <f t="shared" si="6"/>
        <v>TOP RIGHT</v>
      </c>
      <c r="G47" s="1"/>
      <c r="H47" s="6">
        <f t="shared" ref="H47:I47" si="123">IF($F47="TOP RIGHT",C47,NA())</f>
        <v>8</v>
      </c>
      <c r="I47" s="6">
        <f t="shared" si="123"/>
        <v>3</v>
      </c>
      <c r="J47" s="1"/>
      <c r="K47" s="6" t="str">
        <f t="shared" ref="K47:L47" si="124">IF($F47="BOTTOM RIGHT",C47,NA())</f>
        <v>#N/A</v>
      </c>
      <c r="L47" s="6" t="str">
        <f t="shared" si="124"/>
        <v>#N/A</v>
      </c>
      <c r="M47" s="1"/>
      <c r="N47" s="6" t="str">
        <f t="shared" ref="N47:O47" si="125">IF($F47="TOP LEFT",C47,NA())</f>
        <v>#N/A</v>
      </c>
      <c r="O47" s="6" t="str">
        <f t="shared" si="125"/>
        <v>#N/A</v>
      </c>
      <c r="P47" s="1"/>
      <c r="Q47" s="6" t="str">
        <f t="shared" ref="Q47:R47" si="126">IF($F47="BOTTOM LEFT",C47,NA())</f>
        <v>#N/A</v>
      </c>
      <c r="R47" s="6" t="str">
        <f t="shared" si="126"/>
        <v>#N/A</v>
      </c>
      <c r="S47" s="1"/>
      <c r="T47" s="6">
        <f t="shared" si="11"/>
        <v>89</v>
      </c>
      <c r="U47" s="6">
        <f t="shared" si="12"/>
        <v>5</v>
      </c>
      <c r="V47" s="1"/>
      <c r="W47" s="1"/>
      <c r="X47" s="1"/>
      <c r="Y47" s="1"/>
      <c r="Z47" s="1"/>
      <c r="AA47" s="1"/>
      <c r="AB47" s="1"/>
      <c r="AC47" s="1"/>
      <c r="AD47" s="1"/>
      <c r="AE47" s="1"/>
      <c r="AF47" s="1"/>
      <c r="AG47" s="1"/>
      <c r="AH47" s="1"/>
      <c r="AI47" s="11">
        <v>30.0</v>
      </c>
      <c r="AJ47" s="11" t="str">
        <f t="shared" si="13"/>
        <v>#16</v>
      </c>
      <c r="AK47" s="1"/>
      <c r="AL47" s="2" t="str">
        <f t="shared" si="14"/>
        <v>BOTTOM RIGHT</v>
      </c>
    </row>
    <row r="48" ht="15.75" customHeight="1">
      <c r="A48" s="1"/>
      <c r="B48" s="11" t="s">
        <v>56</v>
      </c>
      <c r="C48" s="2">
        <v>1.0</v>
      </c>
      <c r="D48" s="2">
        <v>6.0</v>
      </c>
      <c r="E48" s="1"/>
      <c r="F48" s="6" t="str">
        <f t="shared" si="6"/>
        <v>TOP LEFT</v>
      </c>
      <c r="G48" s="1"/>
      <c r="H48" s="6" t="str">
        <f t="shared" ref="H48:I48" si="127">IF($F48="TOP RIGHT",C48,NA())</f>
        <v>#N/A</v>
      </c>
      <c r="I48" s="6" t="str">
        <f t="shared" si="127"/>
        <v>#N/A</v>
      </c>
      <c r="J48" s="1"/>
      <c r="K48" s="6" t="str">
        <f t="shared" ref="K48:L48" si="128">IF($F48="BOTTOM RIGHT",C48,NA())</f>
        <v>#N/A</v>
      </c>
      <c r="L48" s="6" t="str">
        <f t="shared" si="128"/>
        <v>#N/A</v>
      </c>
      <c r="M48" s="1"/>
      <c r="N48" s="6">
        <f t="shared" ref="N48:O48" si="129">IF($F48="TOP LEFT",C48,NA())</f>
        <v>1</v>
      </c>
      <c r="O48" s="6">
        <f t="shared" si="129"/>
        <v>6</v>
      </c>
      <c r="P48" s="1"/>
      <c r="Q48" s="6" t="str">
        <f t="shared" ref="Q48:R48" si="130">IF($F48="BOTTOM LEFT",C48,NA())</f>
        <v>#N/A</v>
      </c>
      <c r="R48" s="6" t="str">
        <f t="shared" si="130"/>
        <v>#N/A</v>
      </c>
      <c r="S48" s="1"/>
      <c r="T48" s="6">
        <f t="shared" si="11"/>
        <v>293</v>
      </c>
      <c r="U48" s="6">
        <f t="shared" si="12"/>
        <v>34</v>
      </c>
      <c r="V48" s="1"/>
      <c r="W48" s="1"/>
      <c r="X48" s="1"/>
      <c r="Y48" s="1"/>
      <c r="Z48" s="1"/>
      <c r="AA48" s="1"/>
      <c r="AB48" s="1"/>
      <c r="AC48" s="1"/>
      <c r="AD48" s="1"/>
      <c r="AE48" s="1"/>
      <c r="AF48" s="1"/>
      <c r="AG48" s="1"/>
      <c r="AH48" s="1"/>
      <c r="AI48" s="11">
        <v>31.0</v>
      </c>
      <c r="AJ48" s="11" t="str">
        <f t="shared" si="13"/>
        <v>#2</v>
      </c>
      <c r="AK48" s="1"/>
      <c r="AL48" s="2" t="str">
        <f t="shared" si="14"/>
        <v>BOTTOM RIGHT</v>
      </c>
    </row>
    <row r="49" ht="15.75" customHeight="1">
      <c r="A49" s="1"/>
      <c r="B49" s="11" t="s">
        <v>57</v>
      </c>
      <c r="C49" s="2">
        <v>6.0</v>
      </c>
      <c r="D49" s="2">
        <v>1.0</v>
      </c>
      <c r="E49" s="1"/>
      <c r="F49" s="6" t="str">
        <f t="shared" si="6"/>
        <v>BOTTOM RIGHT</v>
      </c>
      <c r="G49" s="1"/>
      <c r="H49" s="6" t="str">
        <f t="shared" ref="H49:I49" si="131">IF($F49="TOP RIGHT",C49,NA())</f>
        <v>#N/A</v>
      </c>
      <c r="I49" s="6" t="str">
        <f t="shared" si="131"/>
        <v>#N/A</v>
      </c>
      <c r="J49" s="1"/>
      <c r="K49" s="6">
        <f t="shared" ref="K49:L49" si="132">IF($F49="BOTTOM RIGHT",C49,NA())</f>
        <v>6</v>
      </c>
      <c r="L49" s="6">
        <f t="shared" si="132"/>
        <v>1</v>
      </c>
      <c r="M49" s="1"/>
      <c r="N49" s="6" t="str">
        <f t="shared" ref="N49:O49" si="133">IF($F49="TOP LEFT",C49,NA())</f>
        <v>#N/A</v>
      </c>
      <c r="O49" s="6" t="str">
        <f t="shared" si="133"/>
        <v>#N/A</v>
      </c>
      <c r="P49" s="1"/>
      <c r="Q49" s="6" t="str">
        <f t="shared" ref="Q49:R49" si="134">IF($F49="BOTTOM LEFT",C49,NA())</f>
        <v>#N/A</v>
      </c>
      <c r="R49" s="6" t="str">
        <f t="shared" si="134"/>
        <v>#N/A</v>
      </c>
      <c r="S49" s="1"/>
      <c r="T49" s="6">
        <f t="shared" si="11"/>
        <v>193</v>
      </c>
      <c r="U49" s="6">
        <f t="shared" si="12"/>
        <v>24</v>
      </c>
      <c r="V49" s="1"/>
      <c r="W49" s="1"/>
      <c r="X49" s="1"/>
      <c r="Y49" s="1"/>
      <c r="Z49" s="1"/>
      <c r="AA49" s="1"/>
      <c r="AB49" s="1"/>
      <c r="AC49" s="1"/>
      <c r="AD49" s="1"/>
      <c r="AE49" s="1"/>
      <c r="AF49" s="1"/>
      <c r="AG49" s="1"/>
      <c r="AH49" s="1"/>
      <c r="AI49" s="11">
        <v>32.0</v>
      </c>
      <c r="AJ49" s="11" t="str">
        <f t="shared" si="13"/>
        <v>#36</v>
      </c>
      <c r="AK49" s="1"/>
      <c r="AL49" s="2" t="str">
        <f t="shared" si="14"/>
        <v>TOP LEFT</v>
      </c>
    </row>
    <row r="50" ht="15.75" customHeight="1">
      <c r="A50" s="1"/>
      <c r="B50" s="11" t="s">
        <v>58</v>
      </c>
      <c r="C50" s="2">
        <v>3.0</v>
      </c>
      <c r="D50" s="2">
        <v>1.0</v>
      </c>
      <c r="E50" s="1"/>
      <c r="F50" s="6" t="str">
        <f t="shared" si="6"/>
        <v>BOTTOM LEFT</v>
      </c>
      <c r="G50" s="1"/>
      <c r="H50" s="6" t="str">
        <f t="shared" ref="H50:I50" si="135">IF($F50="TOP RIGHT",C50,NA())</f>
        <v>#N/A</v>
      </c>
      <c r="I50" s="6" t="str">
        <f t="shared" si="135"/>
        <v>#N/A</v>
      </c>
      <c r="J50" s="1"/>
      <c r="K50" s="6" t="str">
        <f t="shared" ref="K50:L50" si="136">IF($F50="BOTTOM RIGHT",C50,NA())</f>
        <v>#N/A</v>
      </c>
      <c r="L50" s="6" t="str">
        <f t="shared" si="136"/>
        <v>#N/A</v>
      </c>
      <c r="M50" s="1"/>
      <c r="N50" s="6" t="str">
        <f t="shared" ref="N50:O50" si="137">IF($F50="TOP LEFT",C50,NA())</f>
        <v>#N/A</v>
      </c>
      <c r="O50" s="6" t="str">
        <f t="shared" si="137"/>
        <v>#N/A</v>
      </c>
      <c r="P50" s="1"/>
      <c r="Q50" s="6">
        <f t="shared" ref="Q50:R50" si="138">IF($F50="BOTTOM LEFT",C50,NA())</f>
        <v>3</v>
      </c>
      <c r="R50" s="6">
        <f t="shared" si="138"/>
        <v>1</v>
      </c>
      <c r="S50" s="1"/>
      <c r="T50" s="6">
        <f t="shared" si="11"/>
        <v>396</v>
      </c>
      <c r="U50" s="6">
        <f t="shared" si="12"/>
        <v>43</v>
      </c>
      <c r="V50" s="1"/>
      <c r="W50" s="1"/>
      <c r="X50" s="1"/>
      <c r="Y50" s="1"/>
      <c r="Z50" s="1"/>
      <c r="AA50" s="1"/>
      <c r="AB50" s="1"/>
      <c r="AC50" s="1"/>
      <c r="AD50" s="1"/>
      <c r="AE50" s="1"/>
      <c r="AF50" s="1"/>
      <c r="AG50" s="1"/>
      <c r="AH50" s="1"/>
      <c r="AI50" s="11">
        <v>33.0</v>
      </c>
      <c r="AJ50" s="11" t="str">
        <f t="shared" si="13"/>
        <v>#6</v>
      </c>
      <c r="AK50" s="1"/>
      <c r="AL50" s="2" t="str">
        <f t="shared" si="14"/>
        <v>TOP LEFT</v>
      </c>
    </row>
    <row r="51" ht="15.75" customHeight="1">
      <c r="A51" s="1"/>
      <c r="B51" s="11" t="s">
        <v>59</v>
      </c>
      <c r="C51" s="2">
        <v>1.0</v>
      </c>
      <c r="D51" s="2">
        <v>0.0</v>
      </c>
      <c r="E51" s="1"/>
      <c r="F51" s="6" t="str">
        <f t="shared" si="6"/>
        <v>BOTTOM LEFT</v>
      </c>
      <c r="G51" s="1"/>
      <c r="H51" s="6" t="str">
        <f t="shared" ref="H51:I51" si="139">IF($F51="TOP RIGHT",C51,NA())</f>
        <v>#N/A</v>
      </c>
      <c r="I51" s="6" t="str">
        <f t="shared" si="139"/>
        <v>#N/A</v>
      </c>
      <c r="J51" s="1"/>
      <c r="K51" s="6" t="str">
        <f t="shared" ref="K51:L51" si="140">IF($F51="BOTTOM RIGHT",C51,NA())</f>
        <v>#N/A</v>
      </c>
      <c r="L51" s="6" t="str">
        <f t="shared" si="140"/>
        <v>#N/A</v>
      </c>
      <c r="M51" s="1"/>
      <c r="N51" s="6" t="str">
        <f t="shared" ref="N51:O51" si="141">IF($F51="TOP LEFT",C51,NA())</f>
        <v>#N/A</v>
      </c>
      <c r="O51" s="6" t="str">
        <f t="shared" si="141"/>
        <v>#N/A</v>
      </c>
      <c r="P51" s="1"/>
      <c r="Q51" s="6">
        <f t="shared" ref="Q51:R51" si="142">IF($F51="BOTTOM LEFT",C51,NA())</f>
        <v>1</v>
      </c>
      <c r="R51" s="6">
        <f t="shared" si="142"/>
        <v>0</v>
      </c>
      <c r="S51" s="1"/>
      <c r="T51" s="6">
        <f t="shared" si="11"/>
        <v>399</v>
      </c>
      <c r="U51" s="6">
        <f t="shared" si="12"/>
        <v>50</v>
      </c>
      <c r="V51" s="1"/>
      <c r="W51" s="1"/>
      <c r="X51" s="1"/>
      <c r="Y51" s="1"/>
      <c r="Z51" s="1"/>
      <c r="AA51" s="1"/>
      <c r="AB51" s="1"/>
      <c r="AC51" s="1"/>
      <c r="AD51" s="1"/>
      <c r="AE51" s="1"/>
      <c r="AF51" s="1"/>
      <c r="AG51" s="1"/>
      <c r="AH51" s="1"/>
      <c r="AI51" s="11">
        <v>34.0</v>
      </c>
      <c r="AJ51" s="11" t="str">
        <f t="shared" si="13"/>
        <v>#31</v>
      </c>
      <c r="AK51" s="1"/>
      <c r="AL51" s="2" t="str">
        <f t="shared" si="14"/>
        <v>TOP LEFT</v>
      </c>
    </row>
    <row r="52" ht="15.75" customHeight="1">
      <c r="A52" s="1"/>
      <c r="B52" s="11" t="s">
        <v>60</v>
      </c>
      <c r="C52" s="2">
        <v>7.0</v>
      </c>
      <c r="D52" s="2">
        <v>1.0</v>
      </c>
      <c r="E52" s="1"/>
      <c r="F52" s="6" t="str">
        <f t="shared" si="6"/>
        <v>BOTTOM RIGHT</v>
      </c>
      <c r="G52" s="1"/>
      <c r="H52" s="6" t="str">
        <f t="shared" ref="H52:I52" si="143">IF($F52="TOP RIGHT",C52,NA())</f>
        <v>#N/A</v>
      </c>
      <c r="I52" s="6" t="str">
        <f t="shared" si="143"/>
        <v>#N/A</v>
      </c>
      <c r="J52" s="1"/>
      <c r="K52" s="6">
        <f t="shared" ref="K52:L52" si="144">IF($F52="BOTTOM RIGHT",C52,NA())</f>
        <v>7</v>
      </c>
      <c r="L52" s="6">
        <f t="shared" si="144"/>
        <v>1</v>
      </c>
      <c r="M52" s="1"/>
      <c r="N52" s="6" t="str">
        <f t="shared" ref="N52:O52" si="145">IF($F52="TOP LEFT",C52,NA())</f>
        <v>#N/A</v>
      </c>
      <c r="O52" s="6" t="str">
        <f t="shared" si="145"/>
        <v>#N/A</v>
      </c>
      <c r="P52" s="1"/>
      <c r="Q52" s="6" t="str">
        <f t="shared" ref="Q52:R52" si="146">IF($F52="BOTTOM LEFT",C52,NA())</f>
        <v>#N/A</v>
      </c>
      <c r="R52" s="6" t="str">
        <f t="shared" si="146"/>
        <v>#N/A</v>
      </c>
      <c r="S52" s="1"/>
      <c r="T52" s="6">
        <f t="shared" si="11"/>
        <v>192</v>
      </c>
      <c r="U52" s="6">
        <f t="shared" si="12"/>
        <v>20</v>
      </c>
      <c r="V52" s="1"/>
      <c r="W52" s="1"/>
      <c r="X52" s="1"/>
      <c r="Y52" s="1"/>
      <c r="Z52" s="1"/>
      <c r="AA52" s="1"/>
      <c r="AB52" s="1"/>
      <c r="AC52" s="1"/>
      <c r="AD52" s="1"/>
      <c r="AE52" s="1"/>
      <c r="AF52" s="1"/>
      <c r="AG52" s="1"/>
      <c r="AH52" s="1"/>
      <c r="AI52" s="11">
        <v>35.0</v>
      </c>
      <c r="AJ52" s="11" t="str">
        <f t="shared" si="13"/>
        <v>#12</v>
      </c>
      <c r="AK52" s="1"/>
      <c r="AL52" s="2" t="str">
        <f t="shared" si="14"/>
        <v>TOP LEFT</v>
      </c>
    </row>
    <row r="53" ht="15.75" customHeight="1">
      <c r="A53" s="1"/>
      <c r="B53" s="11" t="s">
        <v>61</v>
      </c>
      <c r="C53" s="2">
        <v>3.0</v>
      </c>
      <c r="D53" s="2">
        <v>6.0</v>
      </c>
      <c r="E53" s="1"/>
      <c r="F53" s="6" t="str">
        <f t="shared" si="6"/>
        <v>TOP LEFT</v>
      </c>
      <c r="G53" s="1"/>
      <c r="H53" s="6" t="str">
        <f t="shared" ref="H53:I53" si="147">IF($F53="TOP RIGHT",C53,NA())</f>
        <v>#N/A</v>
      </c>
      <c r="I53" s="6" t="str">
        <f t="shared" si="147"/>
        <v>#N/A</v>
      </c>
      <c r="J53" s="1"/>
      <c r="K53" s="6" t="str">
        <f t="shared" ref="K53:L53" si="148">IF($F53="BOTTOM RIGHT",C53,NA())</f>
        <v>#N/A</v>
      </c>
      <c r="L53" s="6" t="str">
        <f t="shared" si="148"/>
        <v>#N/A</v>
      </c>
      <c r="M53" s="1"/>
      <c r="N53" s="6">
        <f t="shared" ref="N53:O53" si="149">IF($F53="TOP LEFT",C53,NA())</f>
        <v>3</v>
      </c>
      <c r="O53" s="6">
        <f t="shared" si="149"/>
        <v>6</v>
      </c>
      <c r="P53" s="1"/>
      <c r="Q53" s="6" t="str">
        <f t="shared" ref="Q53:R53" si="150">IF($F53="BOTTOM LEFT",C53,NA())</f>
        <v>#N/A</v>
      </c>
      <c r="R53" s="6" t="str">
        <f t="shared" si="150"/>
        <v>#N/A</v>
      </c>
      <c r="S53" s="1"/>
      <c r="T53" s="6">
        <f t="shared" si="11"/>
        <v>291</v>
      </c>
      <c r="U53" s="6">
        <f t="shared" si="12"/>
        <v>32</v>
      </c>
      <c r="V53" s="1"/>
      <c r="W53" s="1"/>
      <c r="X53" s="1"/>
      <c r="Y53" s="1"/>
      <c r="Z53" s="1"/>
      <c r="AA53" s="1"/>
      <c r="AB53" s="1"/>
      <c r="AC53" s="1"/>
      <c r="AD53" s="1"/>
      <c r="AE53" s="1"/>
      <c r="AF53" s="1"/>
      <c r="AG53" s="1"/>
      <c r="AH53" s="1"/>
      <c r="AI53" s="11">
        <v>36.0</v>
      </c>
      <c r="AJ53" s="11" t="str">
        <f t="shared" si="13"/>
        <v>#44</v>
      </c>
      <c r="AK53" s="1"/>
      <c r="AL53" s="2" t="str">
        <f t="shared" si="14"/>
        <v>TOP LEFT</v>
      </c>
    </row>
    <row r="54" ht="15.75" customHeight="1">
      <c r="A54" s="1"/>
      <c r="B54" s="11" t="s">
        <v>62</v>
      </c>
      <c r="C54" s="2">
        <v>2.0</v>
      </c>
      <c r="D54" s="2">
        <v>4.0</v>
      </c>
      <c r="E54" s="1"/>
      <c r="F54" s="6" t="str">
        <f t="shared" si="6"/>
        <v>TOP LEFT</v>
      </c>
      <c r="G54" s="1"/>
      <c r="H54" s="6" t="str">
        <f t="shared" ref="H54:I54" si="151">IF($F54="TOP RIGHT",C54,NA())</f>
        <v>#N/A</v>
      </c>
      <c r="I54" s="6" t="str">
        <f t="shared" si="151"/>
        <v>#N/A</v>
      </c>
      <c r="J54" s="1"/>
      <c r="K54" s="6" t="str">
        <f t="shared" ref="K54:L54" si="152">IF($F54="BOTTOM RIGHT",C54,NA())</f>
        <v>#N/A</v>
      </c>
      <c r="L54" s="6" t="str">
        <f t="shared" si="152"/>
        <v>#N/A</v>
      </c>
      <c r="M54" s="1"/>
      <c r="N54" s="6">
        <f t="shared" ref="N54:O54" si="153">IF($F54="TOP LEFT",C54,NA())</f>
        <v>2</v>
      </c>
      <c r="O54" s="6">
        <f t="shared" si="153"/>
        <v>4</v>
      </c>
      <c r="P54" s="1"/>
      <c r="Q54" s="6" t="str">
        <f t="shared" ref="Q54:R54" si="154">IF($F54="BOTTOM LEFT",C54,NA())</f>
        <v>#N/A</v>
      </c>
      <c r="R54" s="6" t="str">
        <f t="shared" si="154"/>
        <v>#N/A</v>
      </c>
      <c r="S54" s="1"/>
      <c r="T54" s="6">
        <f t="shared" si="11"/>
        <v>294</v>
      </c>
      <c r="U54" s="6">
        <f t="shared" si="12"/>
        <v>37</v>
      </c>
      <c r="V54" s="1"/>
      <c r="W54" s="1"/>
      <c r="X54" s="1"/>
      <c r="Y54" s="1"/>
      <c r="Z54" s="1"/>
      <c r="AA54" s="1"/>
      <c r="AB54" s="1"/>
      <c r="AC54" s="1"/>
      <c r="AD54" s="1"/>
      <c r="AE54" s="1"/>
      <c r="AF54" s="1"/>
      <c r="AG54" s="1"/>
      <c r="AH54" s="1"/>
      <c r="AI54" s="11">
        <v>37.0</v>
      </c>
      <c r="AJ54" s="11" t="str">
        <f t="shared" si="13"/>
        <v>#37</v>
      </c>
      <c r="AK54" s="1"/>
      <c r="AL54" s="2" t="str">
        <f t="shared" si="14"/>
        <v>TOP LEFT</v>
      </c>
    </row>
    <row r="55" ht="15.75" customHeight="1">
      <c r="A55" s="1"/>
      <c r="B55" s="11" t="s">
        <v>63</v>
      </c>
      <c r="C55" s="2">
        <v>6.0</v>
      </c>
      <c r="D55" s="2">
        <v>1.0</v>
      </c>
      <c r="E55" s="1"/>
      <c r="F55" s="6" t="str">
        <f t="shared" si="6"/>
        <v>BOTTOM RIGHT</v>
      </c>
      <c r="G55" s="1"/>
      <c r="H55" s="6" t="str">
        <f t="shared" ref="H55:I55" si="155">IF($F55="TOP RIGHT",C55,NA())</f>
        <v>#N/A</v>
      </c>
      <c r="I55" s="6" t="str">
        <f t="shared" si="155"/>
        <v>#N/A</v>
      </c>
      <c r="J55" s="1"/>
      <c r="K55" s="6">
        <f t="shared" ref="K55:L55" si="156">IF($F55="BOTTOM RIGHT",C55,NA())</f>
        <v>6</v>
      </c>
      <c r="L55" s="6">
        <f t="shared" si="156"/>
        <v>1</v>
      </c>
      <c r="M55" s="1"/>
      <c r="N55" s="6" t="str">
        <f t="shared" ref="N55:O55" si="157">IF($F55="TOP LEFT",C55,NA())</f>
        <v>#N/A</v>
      </c>
      <c r="O55" s="6" t="str">
        <f t="shared" si="157"/>
        <v>#N/A</v>
      </c>
      <c r="P55" s="1"/>
      <c r="Q55" s="6" t="str">
        <f t="shared" ref="Q55:R55" si="158">IF($F55="BOTTOM LEFT",C55,NA())</f>
        <v>#N/A</v>
      </c>
      <c r="R55" s="6" t="str">
        <f t="shared" si="158"/>
        <v>#N/A</v>
      </c>
      <c r="S55" s="1"/>
      <c r="T55" s="6">
        <f t="shared" si="11"/>
        <v>193</v>
      </c>
      <c r="U55" s="6">
        <f t="shared" si="12"/>
        <v>23</v>
      </c>
      <c r="V55" s="1"/>
      <c r="W55" s="1"/>
      <c r="X55" s="1"/>
      <c r="Y55" s="1"/>
      <c r="Z55" s="1"/>
      <c r="AA55" s="1"/>
      <c r="AB55" s="1"/>
      <c r="AC55" s="1"/>
      <c r="AD55" s="1"/>
      <c r="AE55" s="1"/>
      <c r="AF55" s="1"/>
      <c r="AG55" s="1"/>
      <c r="AH55" s="1"/>
      <c r="AI55" s="11">
        <v>38.0</v>
      </c>
      <c r="AJ55" s="11" t="str">
        <f t="shared" si="13"/>
        <v>#17</v>
      </c>
      <c r="AK55" s="1"/>
      <c r="AL55" s="2" t="str">
        <f t="shared" si="14"/>
        <v>TOP LEFT</v>
      </c>
    </row>
    <row r="56" ht="15.75" customHeight="1">
      <c r="A56" s="1"/>
      <c r="B56" s="11" t="s">
        <v>64</v>
      </c>
      <c r="C56" s="2">
        <v>8.0</v>
      </c>
      <c r="D56" s="2">
        <v>1.0</v>
      </c>
      <c r="E56" s="1"/>
      <c r="F56" s="6" t="str">
        <f t="shared" si="6"/>
        <v>BOTTOM RIGHT</v>
      </c>
      <c r="G56" s="1"/>
      <c r="H56" s="6" t="str">
        <f t="shared" ref="H56:I56" si="159">IF($F56="TOP RIGHT",C56,NA())</f>
        <v>#N/A</v>
      </c>
      <c r="I56" s="6" t="str">
        <f t="shared" si="159"/>
        <v>#N/A</v>
      </c>
      <c r="J56" s="1"/>
      <c r="K56" s="6">
        <f t="shared" ref="K56:L56" si="160">IF($F56="BOTTOM RIGHT",C56,NA())</f>
        <v>8</v>
      </c>
      <c r="L56" s="6">
        <f t="shared" si="160"/>
        <v>1</v>
      </c>
      <c r="M56" s="1"/>
      <c r="N56" s="6" t="str">
        <f t="shared" ref="N56:O56" si="161">IF($F56="TOP LEFT",C56,NA())</f>
        <v>#N/A</v>
      </c>
      <c r="O56" s="6" t="str">
        <f t="shared" si="161"/>
        <v>#N/A</v>
      </c>
      <c r="P56" s="1"/>
      <c r="Q56" s="6" t="str">
        <f t="shared" ref="Q56:R56" si="162">IF($F56="BOTTOM LEFT",C56,NA())</f>
        <v>#N/A</v>
      </c>
      <c r="R56" s="6" t="str">
        <f t="shared" si="162"/>
        <v>#N/A</v>
      </c>
      <c r="S56" s="1"/>
      <c r="T56" s="6">
        <f t="shared" si="11"/>
        <v>191</v>
      </c>
      <c r="U56" s="6">
        <f t="shared" si="12"/>
        <v>16</v>
      </c>
      <c r="V56" s="1"/>
      <c r="W56" s="1"/>
      <c r="X56" s="1"/>
      <c r="Y56" s="1"/>
      <c r="Z56" s="1"/>
      <c r="AA56" s="1"/>
      <c r="AB56" s="1"/>
      <c r="AC56" s="1"/>
      <c r="AD56" s="1"/>
      <c r="AE56" s="1"/>
      <c r="AF56" s="1"/>
      <c r="AG56" s="1"/>
      <c r="AH56" s="1"/>
      <c r="AI56" s="11">
        <v>39.0</v>
      </c>
      <c r="AJ56" s="11" t="str">
        <f t="shared" si="13"/>
        <v>#43</v>
      </c>
      <c r="AK56" s="1"/>
      <c r="AL56" s="2" t="str">
        <f t="shared" si="14"/>
        <v>BOTTOM LEFT</v>
      </c>
    </row>
    <row r="57" ht="15.75" customHeight="1">
      <c r="A57" s="1"/>
      <c r="B57" s="11" t="s">
        <v>65</v>
      </c>
      <c r="C57" s="2">
        <v>6.0</v>
      </c>
      <c r="D57" s="2">
        <v>2.0</v>
      </c>
      <c r="E57" s="1"/>
      <c r="F57" s="6" t="str">
        <f t="shared" si="6"/>
        <v>BOTTOM RIGHT</v>
      </c>
      <c r="G57" s="1"/>
      <c r="H57" s="6" t="str">
        <f t="shared" ref="H57:I57" si="163">IF($F57="TOP RIGHT",C57,NA())</f>
        <v>#N/A</v>
      </c>
      <c r="I57" s="6" t="str">
        <f t="shared" si="163"/>
        <v>#N/A</v>
      </c>
      <c r="J57" s="1"/>
      <c r="K57" s="6">
        <f t="shared" ref="K57:L57" si="164">IF($F57="BOTTOM RIGHT",C57,NA())</f>
        <v>6</v>
      </c>
      <c r="L57" s="6">
        <f t="shared" si="164"/>
        <v>2</v>
      </c>
      <c r="M57" s="1"/>
      <c r="N57" s="6" t="str">
        <f t="shared" ref="N57:O57" si="165">IF($F57="TOP LEFT",C57,NA())</f>
        <v>#N/A</v>
      </c>
      <c r="O57" s="6" t="str">
        <f t="shared" si="165"/>
        <v>#N/A</v>
      </c>
      <c r="P57" s="1"/>
      <c r="Q57" s="6" t="str">
        <f t="shared" ref="Q57:R57" si="166">IF($F57="BOTTOM LEFT",C57,NA())</f>
        <v>#N/A</v>
      </c>
      <c r="R57" s="6" t="str">
        <f t="shared" si="166"/>
        <v>#N/A</v>
      </c>
      <c r="S57" s="1"/>
      <c r="T57" s="6">
        <f t="shared" si="11"/>
        <v>192</v>
      </c>
      <c r="U57" s="6">
        <f t="shared" si="12"/>
        <v>19</v>
      </c>
      <c r="V57" s="1"/>
      <c r="W57" s="1"/>
      <c r="X57" s="1"/>
      <c r="Y57" s="1"/>
      <c r="Z57" s="1"/>
      <c r="AA57" s="1"/>
      <c r="AB57" s="1"/>
      <c r="AC57" s="1"/>
      <c r="AD57" s="1"/>
      <c r="AE57" s="1"/>
      <c r="AF57" s="1"/>
      <c r="AG57" s="1"/>
      <c r="AH57" s="1"/>
      <c r="AI57" s="11">
        <v>40.0</v>
      </c>
      <c r="AJ57" s="11" t="str">
        <f t="shared" si="13"/>
        <v>#42</v>
      </c>
      <c r="AK57" s="1"/>
      <c r="AL57" s="2" t="str">
        <f t="shared" si="14"/>
        <v>BOTTOM LEFT</v>
      </c>
    </row>
    <row r="58" ht="15.75" customHeight="1">
      <c r="A58" s="1"/>
      <c r="B58" s="11" t="s">
        <v>66</v>
      </c>
      <c r="C58" s="2">
        <v>8.0</v>
      </c>
      <c r="D58" s="2">
        <v>6.0</v>
      </c>
      <c r="E58" s="1"/>
      <c r="F58" s="6" t="str">
        <f t="shared" si="6"/>
        <v>TOP RIGHT</v>
      </c>
      <c r="G58" s="1"/>
      <c r="H58" s="6">
        <f t="shared" ref="H58:I58" si="167">IF($F58="TOP RIGHT",C58,NA())</f>
        <v>8</v>
      </c>
      <c r="I58" s="6">
        <f t="shared" si="167"/>
        <v>6</v>
      </c>
      <c r="J58" s="1"/>
      <c r="K58" s="6" t="str">
        <f t="shared" ref="K58:L58" si="168">IF($F58="BOTTOM RIGHT",C58,NA())</f>
        <v>#N/A</v>
      </c>
      <c r="L58" s="6" t="str">
        <f t="shared" si="168"/>
        <v>#N/A</v>
      </c>
      <c r="M58" s="1"/>
      <c r="N58" s="6" t="str">
        <f t="shared" ref="N58:O58" si="169">IF($F58="TOP LEFT",C58,NA())</f>
        <v>#N/A</v>
      </c>
      <c r="O58" s="6" t="str">
        <f t="shared" si="169"/>
        <v>#N/A</v>
      </c>
      <c r="P58" s="1"/>
      <c r="Q58" s="6" t="str">
        <f t="shared" ref="Q58:R58" si="170">IF($F58="BOTTOM LEFT",C58,NA())</f>
        <v>#N/A</v>
      </c>
      <c r="R58" s="6" t="str">
        <f t="shared" si="170"/>
        <v>#N/A</v>
      </c>
      <c r="S58" s="1"/>
      <c r="T58" s="6">
        <f t="shared" si="11"/>
        <v>86</v>
      </c>
      <c r="U58" s="6">
        <f t="shared" si="12"/>
        <v>1</v>
      </c>
      <c r="V58" s="1"/>
      <c r="W58" s="1"/>
      <c r="X58" s="1"/>
      <c r="Y58" s="1"/>
      <c r="Z58" s="1"/>
      <c r="AA58" s="1"/>
      <c r="AB58" s="1"/>
      <c r="AC58" s="1"/>
      <c r="AD58" s="1"/>
      <c r="AE58" s="1"/>
      <c r="AF58" s="1"/>
      <c r="AG58" s="1"/>
      <c r="AH58" s="1"/>
      <c r="AI58" s="11">
        <v>41.0</v>
      </c>
      <c r="AJ58" s="11" t="str">
        <f t="shared" si="13"/>
        <v>#3</v>
      </c>
      <c r="AK58" s="1"/>
      <c r="AL58" s="2" t="str">
        <f t="shared" si="14"/>
        <v>BOTTOM LEFT</v>
      </c>
    </row>
    <row r="59" ht="15.75" customHeight="1">
      <c r="A59" s="1"/>
      <c r="B59" s="11" t="s">
        <v>67</v>
      </c>
      <c r="C59" s="2">
        <v>3.0</v>
      </c>
      <c r="D59" s="2">
        <v>2.0</v>
      </c>
      <c r="E59" s="1"/>
      <c r="F59" s="6" t="str">
        <f t="shared" si="6"/>
        <v>BOTTOM LEFT</v>
      </c>
      <c r="G59" s="1"/>
      <c r="H59" s="6" t="str">
        <f t="shared" ref="H59:I59" si="171">IF($F59="TOP RIGHT",C59,NA())</f>
        <v>#N/A</v>
      </c>
      <c r="I59" s="6" t="str">
        <f t="shared" si="171"/>
        <v>#N/A</v>
      </c>
      <c r="J59" s="1"/>
      <c r="K59" s="6" t="str">
        <f t="shared" ref="K59:L59" si="172">IF($F59="BOTTOM RIGHT",C59,NA())</f>
        <v>#N/A</v>
      </c>
      <c r="L59" s="6" t="str">
        <f t="shared" si="172"/>
        <v>#N/A</v>
      </c>
      <c r="M59" s="1"/>
      <c r="N59" s="6" t="str">
        <f t="shared" ref="N59:O59" si="173">IF($F59="TOP LEFT",C59,NA())</f>
        <v>#N/A</v>
      </c>
      <c r="O59" s="6" t="str">
        <f t="shared" si="173"/>
        <v>#N/A</v>
      </c>
      <c r="P59" s="1"/>
      <c r="Q59" s="6">
        <f t="shared" ref="Q59:R59" si="174">IF($F59="BOTTOM LEFT",C59,NA())</f>
        <v>3</v>
      </c>
      <c r="R59" s="6">
        <f t="shared" si="174"/>
        <v>2</v>
      </c>
      <c r="S59" s="1"/>
      <c r="T59" s="6">
        <f t="shared" si="11"/>
        <v>395</v>
      </c>
      <c r="U59" s="6">
        <f t="shared" si="12"/>
        <v>40</v>
      </c>
      <c r="V59" s="1"/>
      <c r="W59" s="1"/>
      <c r="X59" s="1"/>
      <c r="Y59" s="1"/>
      <c r="Z59" s="1"/>
      <c r="AA59" s="1"/>
      <c r="AB59" s="1"/>
      <c r="AC59" s="1"/>
      <c r="AD59" s="1"/>
      <c r="AE59" s="1"/>
      <c r="AF59" s="1"/>
      <c r="AG59" s="1"/>
      <c r="AH59" s="1"/>
      <c r="AI59" s="11">
        <v>42.0</v>
      </c>
      <c r="AJ59" s="11" t="str">
        <f t="shared" si="13"/>
        <v>#48</v>
      </c>
      <c r="AK59" s="1"/>
      <c r="AL59" s="2" t="str">
        <f t="shared" si="14"/>
        <v>BOTTOM LEFT</v>
      </c>
    </row>
    <row r="60" ht="15.75" customHeight="1">
      <c r="A60" s="1"/>
      <c r="B60" s="11" t="s">
        <v>68</v>
      </c>
      <c r="C60" s="2">
        <v>2.0</v>
      </c>
      <c r="D60" s="2">
        <v>3.0</v>
      </c>
      <c r="E60" s="1"/>
      <c r="F60" s="6" t="str">
        <f t="shared" si="6"/>
        <v>BOTTOM LEFT</v>
      </c>
      <c r="G60" s="1"/>
      <c r="H60" s="6" t="str">
        <f t="shared" ref="H60:I60" si="175">IF($F60="TOP RIGHT",C60,NA())</f>
        <v>#N/A</v>
      </c>
      <c r="I60" s="6" t="str">
        <f t="shared" si="175"/>
        <v>#N/A</v>
      </c>
      <c r="J60" s="1"/>
      <c r="K60" s="6" t="str">
        <f t="shared" ref="K60:L60" si="176">IF($F60="BOTTOM RIGHT",C60,NA())</f>
        <v>#N/A</v>
      </c>
      <c r="L60" s="6" t="str">
        <f t="shared" si="176"/>
        <v>#N/A</v>
      </c>
      <c r="M60" s="1"/>
      <c r="N60" s="6" t="str">
        <f t="shared" ref="N60:O60" si="177">IF($F60="TOP LEFT",C60,NA())</f>
        <v>#N/A</v>
      </c>
      <c r="O60" s="6" t="str">
        <f t="shared" si="177"/>
        <v>#N/A</v>
      </c>
      <c r="P60" s="1"/>
      <c r="Q60" s="6">
        <f t="shared" ref="Q60:R60" si="178">IF($F60="BOTTOM LEFT",C60,NA())</f>
        <v>2</v>
      </c>
      <c r="R60" s="6">
        <f t="shared" si="178"/>
        <v>3</v>
      </c>
      <c r="S60" s="1"/>
      <c r="T60" s="6">
        <f t="shared" si="11"/>
        <v>395</v>
      </c>
      <c r="U60" s="6">
        <f t="shared" si="12"/>
        <v>39</v>
      </c>
      <c r="V60" s="1"/>
      <c r="W60" s="1"/>
      <c r="X60" s="1"/>
      <c r="Y60" s="1"/>
      <c r="Z60" s="1"/>
      <c r="AA60" s="1"/>
      <c r="AB60" s="1"/>
      <c r="AC60" s="1"/>
      <c r="AD60" s="1"/>
      <c r="AE60" s="1"/>
      <c r="AF60" s="1"/>
      <c r="AG60" s="1"/>
      <c r="AH60" s="1"/>
      <c r="AI60" s="11">
        <v>43.0</v>
      </c>
      <c r="AJ60" s="11" t="str">
        <f t="shared" si="13"/>
        <v>#33</v>
      </c>
      <c r="AK60" s="1"/>
      <c r="AL60" s="2" t="str">
        <f t="shared" si="14"/>
        <v>BOTTOM LEFT</v>
      </c>
    </row>
    <row r="61" ht="15.75" customHeight="1">
      <c r="A61" s="1"/>
      <c r="B61" s="11" t="s">
        <v>69</v>
      </c>
      <c r="C61" s="2">
        <v>2.0</v>
      </c>
      <c r="D61" s="2">
        <v>4.0</v>
      </c>
      <c r="E61" s="1"/>
      <c r="F61" s="6" t="str">
        <f t="shared" si="6"/>
        <v>TOP LEFT</v>
      </c>
      <c r="G61" s="1"/>
      <c r="H61" s="6" t="str">
        <f t="shared" ref="H61:I61" si="179">IF($F61="TOP RIGHT",C61,NA())</f>
        <v>#N/A</v>
      </c>
      <c r="I61" s="6" t="str">
        <f t="shared" si="179"/>
        <v>#N/A</v>
      </c>
      <c r="J61" s="1"/>
      <c r="K61" s="6" t="str">
        <f t="shared" ref="K61:L61" si="180">IF($F61="BOTTOM RIGHT",C61,NA())</f>
        <v>#N/A</v>
      </c>
      <c r="L61" s="6" t="str">
        <f t="shared" si="180"/>
        <v>#N/A</v>
      </c>
      <c r="M61" s="1"/>
      <c r="N61" s="6">
        <f t="shared" ref="N61:O61" si="181">IF($F61="TOP LEFT",C61,NA())</f>
        <v>2</v>
      </c>
      <c r="O61" s="6">
        <f t="shared" si="181"/>
        <v>4</v>
      </c>
      <c r="P61" s="1"/>
      <c r="Q61" s="6" t="str">
        <f t="shared" ref="Q61:R61" si="182">IF($F61="BOTTOM LEFT",C61,NA())</f>
        <v>#N/A</v>
      </c>
      <c r="R61" s="6" t="str">
        <f t="shared" si="182"/>
        <v>#N/A</v>
      </c>
      <c r="S61" s="1"/>
      <c r="T61" s="6">
        <f t="shared" si="11"/>
        <v>294</v>
      </c>
      <c r="U61" s="6">
        <f t="shared" si="12"/>
        <v>36</v>
      </c>
      <c r="V61" s="1"/>
      <c r="W61" s="1"/>
      <c r="X61" s="1"/>
      <c r="Y61" s="1"/>
      <c r="Z61" s="1"/>
      <c r="AA61" s="1"/>
      <c r="AB61" s="1"/>
      <c r="AC61" s="1"/>
      <c r="AD61" s="1"/>
      <c r="AE61" s="1"/>
      <c r="AF61" s="1"/>
      <c r="AG61" s="1"/>
      <c r="AH61" s="1"/>
      <c r="AI61" s="11">
        <v>44.0</v>
      </c>
      <c r="AJ61" s="11" t="str">
        <f t="shared" si="13"/>
        <v>#18</v>
      </c>
      <c r="AK61" s="1"/>
      <c r="AL61" s="2" t="str">
        <f t="shared" si="14"/>
        <v>BOTTOM LEFT</v>
      </c>
    </row>
    <row r="62" ht="15.75" customHeight="1">
      <c r="A62" s="1"/>
      <c r="B62" s="11" t="s">
        <v>70</v>
      </c>
      <c r="C62" s="2">
        <v>6.0</v>
      </c>
      <c r="D62" s="2">
        <v>0.0</v>
      </c>
      <c r="E62" s="1"/>
      <c r="F62" s="6" t="str">
        <f t="shared" si="6"/>
        <v>BOTTOM RIGHT</v>
      </c>
      <c r="G62" s="1"/>
      <c r="H62" s="6" t="str">
        <f t="shared" ref="H62:I62" si="183">IF($F62="TOP RIGHT",C62,NA())</f>
        <v>#N/A</v>
      </c>
      <c r="I62" s="6" t="str">
        <f t="shared" si="183"/>
        <v>#N/A</v>
      </c>
      <c r="J62" s="1"/>
      <c r="K62" s="6">
        <f t="shared" ref="K62:L62" si="184">IF($F62="BOTTOM RIGHT",C62,NA())</f>
        <v>6</v>
      </c>
      <c r="L62" s="6">
        <f t="shared" si="184"/>
        <v>0</v>
      </c>
      <c r="M62" s="1"/>
      <c r="N62" s="6" t="str">
        <f t="shared" ref="N62:O62" si="185">IF($F62="TOP LEFT",C62,NA())</f>
        <v>#N/A</v>
      </c>
      <c r="O62" s="6" t="str">
        <f t="shared" si="185"/>
        <v>#N/A</v>
      </c>
      <c r="P62" s="1"/>
      <c r="Q62" s="6" t="str">
        <f t="shared" ref="Q62:R62" si="186">IF($F62="BOTTOM LEFT",C62,NA())</f>
        <v>#N/A</v>
      </c>
      <c r="R62" s="6" t="str">
        <f t="shared" si="186"/>
        <v>#N/A</v>
      </c>
      <c r="S62" s="1"/>
      <c r="T62" s="6">
        <f t="shared" si="11"/>
        <v>194</v>
      </c>
      <c r="U62" s="6">
        <f t="shared" si="12"/>
        <v>28</v>
      </c>
      <c r="V62" s="1"/>
      <c r="W62" s="1"/>
      <c r="X62" s="1"/>
      <c r="Y62" s="1"/>
      <c r="Z62" s="1"/>
      <c r="AA62" s="1"/>
      <c r="AB62" s="1"/>
      <c r="AC62" s="1"/>
      <c r="AD62" s="1"/>
      <c r="AE62" s="1"/>
      <c r="AF62" s="1"/>
      <c r="AG62" s="1"/>
      <c r="AH62" s="1"/>
      <c r="AI62" s="11">
        <v>45.0</v>
      </c>
      <c r="AJ62" s="11" t="str">
        <f t="shared" si="13"/>
        <v>#15</v>
      </c>
      <c r="AK62" s="1"/>
      <c r="AL62" s="2" t="str">
        <f t="shared" si="14"/>
        <v>BOTTOM LEFT</v>
      </c>
    </row>
    <row r="63" ht="15.75" customHeight="1">
      <c r="A63" s="1"/>
      <c r="B63" s="11" t="s">
        <v>71</v>
      </c>
      <c r="C63" s="2">
        <v>7.0</v>
      </c>
      <c r="D63" s="2">
        <v>0.0</v>
      </c>
      <c r="E63" s="1"/>
      <c r="F63" s="6" t="str">
        <f t="shared" si="6"/>
        <v>BOTTOM RIGHT</v>
      </c>
      <c r="G63" s="1"/>
      <c r="H63" s="6" t="str">
        <f t="shared" ref="H63:I63" si="187">IF($F63="TOP RIGHT",C63,NA())</f>
        <v>#N/A</v>
      </c>
      <c r="I63" s="6" t="str">
        <f t="shared" si="187"/>
        <v>#N/A</v>
      </c>
      <c r="J63" s="1"/>
      <c r="K63" s="6">
        <f t="shared" ref="K63:L63" si="188">IF($F63="BOTTOM RIGHT",C63,NA())</f>
        <v>7</v>
      </c>
      <c r="L63" s="6">
        <f t="shared" si="188"/>
        <v>0</v>
      </c>
      <c r="M63" s="1"/>
      <c r="N63" s="6" t="str">
        <f t="shared" ref="N63:O63" si="189">IF($F63="TOP LEFT",C63,NA())</f>
        <v>#N/A</v>
      </c>
      <c r="O63" s="6" t="str">
        <f t="shared" si="189"/>
        <v>#N/A</v>
      </c>
      <c r="P63" s="1"/>
      <c r="Q63" s="6" t="str">
        <f t="shared" ref="Q63:R63" si="190">IF($F63="BOTTOM LEFT",C63,NA())</f>
        <v>#N/A</v>
      </c>
      <c r="R63" s="6" t="str">
        <f t="shared" si="190"/>
        <v>#N/A</v>
      </c>
      <c r="S63" s="1"/>
      <c r="T63" s="6">
        <f t="shared" si="11"/>
        <v>193</v>
      </c>
      <c r="U63" s="6">
        <f t="shared" si="12"/>
        <v>22</v>
      </c>
      <c r="V63" s="1"/>
      <c r="W63" s="1"/>
      <c r="X63" s="1"/>
      <c r="Y63" s="1"/>
      <c r="Z63" s="1"/>
      <c r="AA63" s="1"/>
      <c r="AB63" s="1"/>
      <c r="AC63" s="1"/>
      <c r="AD63" s="1"/>
      <c r="AE63" s="1"/>
      <c r="AF63" s="1"/>
      <c r="AG63" s="1"/>
      <c r="AH63" s="1"/>
      <c r="AI63" s="11">
        <v>46.0</v>
      </c>
      <c r="AJ63" s="11" t="str">
        <f t="shared" si="13"/>
        <v>#4</v>
      </c>
      <c r="AK63" s="1"/>
      <c r="AL63" s="2" t="str">
        <f t="shared" si="14"/>
        <v>BOTTOM LEFT</v>
      </c>
    </row>
    <row r="64" ht="15.75" customHeight="1">
      <c r="A64" s="1"/>
      <c r="B64" s="11" t="s">
        <v>72</v>
      </c>
      <c r="C64" s="2">
        <v>7.0</v>
      </c>
      <c r="D64" s="2">
        <v>1.0</v>
      </c>
      <c r="E64" s="1"/>
      <c r="F64" s="6" t="str">
        <f t="shared" si="6"/>
        <v>BOTTOM RIGHT</v>
      </c>
      <c r="G64" s="1"/>
      <c r="H64" s="6" t="str">
        <f t="shared" ref="H64:I64" si="191">IF($F64="TOP RIGHT",C64,NA())</f>
        <v>#N/A</v>
      </c>
      <c r="I64" s="6" t="str">
        <f t="shared" si="191"/>
        <v>#N/A</v>
      </c>
      <c r="J64" s="1"/>
      <c r="K64" s="6">
        <f t="shared" ref="K64:L64" si="192">IF($F64="BOTTOM RIGHT",C64,NA())</f>
        <v>7</v>
      </c>
      <c r="L64" s="6">
        <f t="shared" si="192"/>
        <v>1</v>
      </c>
      <c r="M64" s="1"/>
      <c r="N64" s="6" t="str">
        <f t="shared" ref="N64:O64" si="193">IF($F64="TOP LEFT",C64,NA())</f>
        <v>#N/A</v>
      </c>
      <c r="O64" s="6" t="str">
        <f t="shared" si="193"/>
        <v>#N/A</v>
      </c>
      <c r="P64" s="1"/>
      <c r="Q64" s="6" t="str">
        <f t="shared" ref="Q64:R64" si="194">IF($F64="BOTTOM LEFT",C64,NA())</f>
        <v>#N/A</v>
      </c>
      <c r="R64" s="6" t="str">
        <f t="shared" si="194"/>
        <v>#N/A</v>
      </c>
      <c r="S64" s="1"/>
      <c r="T64" s="6">
        <f t="shared" si="11"/>
        <v>192</v>
      </c>
      <c r="U64" s="6">
        <f t="shared" si="12"/>
        <v>18</v>
      </c>
      <c r="V64" s="1"/>
      <c r="W64" s="1"/>
      <c r="X64" s="1"/>
      <c r="Y64" s="1"/>
      <c r="Z64" s="1"/>
      <c r="AA64" s="1"/>
      <c r="AB64" s="1"/>
      <c r="AC64" s="1"/>
      <c r="AD64" s="1"/>
      <c r="AE64" s="1"/>
      <c r="AF64" s="1"/>
      <c r="AG64" s="1"/>
      <c r="AH64" s="1"/>
      <c r="AI64" s="11">
        <v>47.0</v>
      </c>
      <c r="AJ64" s="11" t="str">
        <f t="shared" si="13"/>
        <v>#1</v>
      </c>
      <c r="AK64" s="1"/>
      <c r="AL64" s="2" t="str">
        <f t="shared" si="14"/>
        <v>BOTTOM LEFT</v>
      </c>
    </row>
    <row r="65" ht="15.75" customHeight="1">
      <c r="A65" s="1"/>
      <c r="B65" s="11" t="s">
        <v>73</v>
      </c>
      <c r="C65" s="2">
        <v>3.0</v>
      </c>
      <c r="D65" s="2">
        <v>1.0</v>
      </c>
      <c r="E65" s="1"/>
      <c r="F65" s="6" t="str">
        <f t="shared" si="6"/>
        <v>BOTTOM LEFT</v>
      </c>
      <c r="G65" s="1"/>
      <c r="H65" s="6" t="str">
        <f t="shared" ref="H65:I65" si="195">IF($F65="TOP RIGHT",C65,NA())</f>
        <v>#N/A</v>
      </c>
      <c r="I65" s="6" t="str">
        <f t="shared" si="195"/>
        <v>#N/A</v>
      </c>
      <c r="J65" s="1"/>
      <c r="K65" s="6" t="str">
        <f t="shared" ref="K65:L65" si="196">IF($F65="BOTTOM RIGHT",C65,NA())</f>
        <v>#N/A</v>
      </c>
      <c r="L65" s="6" t="str">
        <f t="shared" si="196"/>
        <v>#N/A</v>
      </c>
      <c r="M65" s="1"/>
      <c r="N65" s="6" t="str">
        <f t="shared" ref="N65:O65" si="197">IF($F65="TOP LEFT",C65,NA())</f>
        <v>#N/A</v>
      </c>
      <c r="O65" s="6" t="str">
        <f t="shared" si="197"/>
        <v>#N/A</v>
      </c>
      <c r="P65" s="1"/>
      <c r="Q65" s="6">
        <f t="shared" ref="Q65:R65" si="198">IF($F65="BOTTOM LEFT",C65,NA())</f>
        <v>3</v>
      </c>
      <c r="R65" s="6">
        <f t="shared" si="198"/>
        <v>1</v>
      </c>
      <c r="S65" s="1"/>
      <c r="T65" s="6">
        <f t="shared" si="11"/>
        <v>396</v>
      </c>
      <c r="U65" s="6">
        <f t="shared" si="12"/>
        <v>42</v>
      </c>
      <c r="V65" s="1"/>
      <c r="W65" s="1"/>
      <c r="X65" s="1"/>
      <c r="Y65" s="1"/>
      <c r="Z65" s="1"/>
      <c r="AA65" s="1"/>
      <c r="AB65" s="1"/>
      <c r="AC65" s="1"/>
      <c r="AD65" s="1"/>
      <c r="AE65" s="1"/>
      <c r="AF65" s="1"/>
      <c r="AG65" s="1"/>
      <c r="AH65" s="1"/>
      <c r="AI65" s="11">
        <v>48.0</v>
      </c>
      <c r="AJ65" s="11" t="str">
        <f t="shared" si="13"/>
        <v>#13</v>
      </c>
      <c r="AK65" s="1"/>
      <c r="AL65" s="2" t="str">
        <f t="shared" si="14"/>
        <v>BOTTOM LEFT</v>
      </c>
    </row>
    <row r="66" ht="15.75" customHeight="1">
      <c r="A66" s="1"/>
      <c r="B66" s="11" t="s">
        <v>74</v>
      </c>
      <c r="C66" s="2">
        <v>8.0</v>
      </c>
      <c r="D66" s="2">
        <v>2.0</v>
      </c>
      <c r="E66" s="1"/>
      <c r="F66" s="6" t="str">
        <f t="shared" si="6"/>
        <v>BOTTOM RIGHT</v>
      </c>
      <c r="G66" s="1"/>
      <c r="H66" s="6" t="str">
        <f t="shared" ref="H66:I66" si="199">IF($F66="TOP RIGHT",C66,NA())</f>
        <v>#N/A</v>
      </c>
      <c r="I66" s="6" t="str">
        <f t="shared" si="199"/>
        <v>#N/A</v>
      </c>
      <c r="J66" s="1"/>
      <c r="K66" s="6">
        <f t="shared" ref="K66:L66" si="200">IF($F66="BOTTOM RIGHT",C66,NA())</f>
        <v>8</v>
      </c>
      <c r="L66" s="6">
        <f t="shared" si="200"/>
        <v>2</v>
      </c>
      <c r="M66" s="1"/>
      <c r="N66" s="6" t="str">
        <f t="shared" ref="N66:O66" si="201">IF($F66="TOP LEFT",C66,NA())</f>
        <v>#N/A</v>
      </c>
      <c r="O66" s="6" t="str">
        <f t="shared" si="201"/>
        <v>#N/A</v>
      </c>
      <c r="P66" s="1"/>
      <c r="Q66" s="6" t="str">
        <f t="shared" ref="Q66:R66" si="202">IF($F66="BOTTOM LEFT",C66,NA())</f>
        <v>#N/A</v>
      </c>
      <c r="R66" s="6" t="str">
        <f t="shared" si="202"/>
        <v>#N/A</v>
      </c>
      <c r="S66" s="1"/>
      <c r="T66" s="6">
        <f t="shared" si="11"/>
        <v>190</v>
      </c>
      <c r="U66" s="6">
        <f t="shared" si="12"/>
        <v>14</v>
      </c>
      <c r="V66" s="1"/>
      <c r="W66" s="1"/>
      <c r="X66" s="1"/>
      <c r="Y66" s="1"/>
      <c r="Z66" s="1"/>
      <c r="AA66" s="1"/>
      <c r="AB66" s="1"/>
      <c r="AC66" s="1"/>
      <c r="AD66" s="1"/>
      <c r="AE66" s="1"/>
      <c r="AF66" s="1"/>
      <c r="AG66" s="1"/>
      <c r="AH66" s="1"/>
      <c r="AI66" s="11">
        <v>49.0</v>
      </c>
      <c r="AJ66" s="11" t="str">
        <f t="shared" si="13"/>
        <v>#11</v>
      </c>
      <c r="AK66" s="1"/>
      <c r="AL66" s="2" t="str">
        <f t="shared" si="14"/>
        <v>BOTTOM LEFT</v>
      </c>
    </row>
    <row r="67" ht="15.75" customHeight="1">
      <c r="A67" s="1"/>
      <c r="B67" s="11" t="s">
        <v>75</v>
      </c>
      <c r="C67" s="2">
        <v>4.0</v>
      </c>
      <c r="D67" s="2">
        <v>4.0</v>
      </c>
      <c r="E67" s="1"/>
      <c r="F67" s="6" t="str">
        <f t="shared" si="6"/>
        <v>TOP RIGHT</v>
      </c>
      <c r="G67" s="1"/>
      <c r="H67" s="6">
        <f t="shared" ref="H67:I67" si="203">IF($F67="TOP RIGHT",C67,NA())</f>
        <v>4</v>
      </c>
      <c r="I67" s="6">
        <f t="shared" si="203"/>
        <v>4</v>
      </c>
      <c r="J67" s="1"/>
      <c r="K67" s="6" t="str">
        <f t="shared" ref="K67:L67" si="204">IF($F67="BOTTOM RIGHT",C67,NA())</f>
        <v>#N/A</v>
      </c>
      <c r="L67" s="6" t="str">
        <f t="shared" si="204"/>
        <v>#N/A</v>
      </c>
      <c r="M67" s="1"/>
      <c r="N67" s="6" t="str">
        <f t="shared" ref="N67:O67" si="205">IF($F67="TOP LEFT",C67,NA())</f>
        <v>#N/A</v>
      </c>
      <c r="O67" s="6" t="str">
        <f t="shared" si="205"/>
        <v>#N/A</v>
      </c>
      <c r="P67" s="1"/>
      <c r="Q67" s="6" t="str">
        <f t="shared" ref="Q67:R67" si="206">IF($F67="BOTTOM LEFT",C67,NA())</f>
        <v>#N/A</v>
      </c>
      <c r="R67" s="6" t="str">
        <f t="shared" si="206"/>
        <v>#N/A</v>
      </c>
      <c r="S67" s="1"/>
      <c r="T67" s="6">
        <f t="shared" si="11"/>
        <v>92</v>
      </c>
      <c r="U67" s="6">
        <f t="shared" si="12"/>
        <v>11</v>
      </c>
      <c r="V67" s="1"/>
      <c r="W67" s="1"/>
      <c r="X67" s="1"/>
      <c r="Y67" s="1"/>
      <c r="Z67" s="1"/>
      <c r="AA67" s="1"/>
      <c r="AB67" s="1"/>
      <c r="AC67" s="1"/>
      <c r="AD67" s="1"/>
      <c r="AE67" s="1"/>
      <c r="AF67" s="1"/>
      <c r="AG67" s="1"/>
      <c r="AH67" s="1"/>
      <c r="AI67" s="11">
        <v>50.0</v>
      </c>
      <c r="AJ67" s="11" t="str">
        <f t="shared" si="13"/>
        <v>#34</v>
      </c>
      <c r="AK67" s="1"/>
      <c r="AL67" s="2" t="str">
        <f t="shared" si="14"/>
        <v>BOTTOM LEFT</v>
      </c>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row>
  </sheetData>
  <mergeCells count="6">
    <mergeCell ref="AI2:AJ2"/>
    <mergeCell ref="H16:I16"/>
    <mergeCell ref="K16:L16"/>
    <mergeCell ref="N16:O16"/>
    <mergeCell ref="Q16:R16"/>
    <mergeCell ref="T16:U16"/>
  </mergeCells>
  <conditionalFormatting sqref="AI18:AI67">
    <cfRule type="expression" dxfId="0" priority="1">
      <formula>AL18=$AJ$3</formula>
    </cfRule>
  </conditionalFormatting>
  <conditionalFormatting sqref="AI18:AI67">
    <cfRule type="expression" dxfId="1" priority="2">
      <formula>AL18=$AJ$4</formula>
    </cfRule>
  </conditionalFormatting>
  <conditionalFormatting sqref="AI18:AI67">
    <cfRule type="expression" dxfId="2" priority="3">
      <formula>AL18=$AJ$5</formula>
    </cfRule>
  </conditionalFormatting>
  <conditionalFormatting sqref="AI18:AI67">
    <cfRule type="expression" dxfId="3" priority="4">
      <formula>AL18=$AJ$6</formula>
    </cfRule>
  </conditionalFormatting>
  <conditionalFormatting sqref="AJ18:AJ67">
    <cfRule type="expression" dxfId="3" priority="5">
      <formula>AL18=$AJ$6</formula>
    </cfRule>
  </conditionalFormatting>
  <conditionalFormatting sqref="AJ18:AJ67">
    <cfRule type="expression" dxfId="2" priority="6">
      <formula>AL18=$AJ$5</formula>
    </cfRule>
  </conditionalFormatting>
  <conditionalFormatting sqref="AJ18:AJ67">
    <cfRule type="expression" dxfId="1" priority="7">
      <formula>AL18=$AJ$4</formula>
    </cfRule>
  </conditionalFormatting>
  <conditionalFormatting sqref="AJ18:AJ67">
    <cfRule type="expression" dxfId="4" priority="8">
      <formula>AL18=$AJ$3</formula>
    </cfRule>
  </conditionalFormatting>
  <dataValidations>
    <dataValidation type="list" allowBlank="1" showErrorMessage="1" sqref="AJ3:AJ6">
      <formula1>"TOP RIGHT,BOTTOM RIGHT,TOP LEFT,BOTTOM LEFT"</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sheetViews>
  <sheetFormatPr customHeight="1" defaultColWidth="14.43" defaultRowHeight="15.0"/>
  <cols>
    <col customWidth="1" min="1" max="1" width="2.86"/>
    <col customWidth="1" min="2" max="2" width="7.43"/>
    <col customWidth="1" min="3" max="3" width="60.71"/>
    <col customWidth="1" min="4" max="4" width="18.86"/>
    <col customWidth="1" min="5" max="5" width="19.86"/>
    <col customWidth="1" min="6" max="6" width="41.43"/>
    <col customWidth="1" min="7" max="8" width="24.71"/>
    <col customWidth="1" min="9" max="26" width="9.14"/>
  </cols>
  <sheetData>
    <row r="1" ht="13.5"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ht="33.75" customHeight="1">
      <c r="A2" s="12"/>
      <c r="B2" s="13" t="s">
        <v>76</v>
      </c>
      <c r="C2" s="14"/>
      <c r="D2" s="14"/>
      <c r="E2" s="14"/>
      <c r="F2" s="5"/>
      <c r="G2" s="12"/>
      <c r="H2" s="12"/>
      <c r="I2" s="12"/>
      <c r="J2" s="12"/>
      <c r="K2" s="12"/>
      <c r="L2" s="12"/>
      <c r="M2" s="12"/>
      <c r="N2" s="12"/>
      <c r="O2" s="12"/>
      <c r="P2" s="12"/>
      <c r="Q2" s="12"/>
      <c r="R2" s="12"/>
      <c r="S2" s="12"/>
      <c r="T2" s="12"/>
      <c r="U2" s="12"/>
      <c r="V2" s="12"/>
      <c r="W2" s="12"/>
      <c r="X2" s="12"/>
      <c r="Y2" s="12"/>
      <c r="Z2" s="12"/>
    </row>
    <row r="3" ht="18.0" customHeight="1">
      <c r="A3" s="12"/>
      <c r="B3" s="15"/>
      <c r="C3" s="15"/>
      <c r="D3" s="15"/>
      <c r="E3" s="15"/>
      <c r="F3" s="15"/>
      <c r="G3" s="12"/>
      <c r="H3" s="12"/>
      <c r="I3" s="12"/>
      <c r="J3" s="12"/>
      <c r="K3" s="12"/>
      <c r="L3" s="12"/>
      <c r="M3" s="12"/>
      <c r="N3" s="12"/>
      <c r="O3" s="12"/>
      <c r="P3" s="12"/>
      <c r="Q3" s="12"/>
      <c r="R3" s="12"/>
      <c r="S3" s="12"/>
      <c r="T3" s="12"/>
      <c r="U3" s="12"/>
      <c r="V3" s="12"/>
      <c r="W3" s="12"/>
      <c r="X3" s="12"/>
      <c r="Y3" s="12"/>
      <c r="Z3" s="12"/>
    </row>
    <row r="4" ht="25.5" customHeight="1">
      <c r="A4" s="12"/>
      <c r="B4" s="16" t="s">
        <v>76</v>
      </c>
      <c r="C4" s="17"/>
      <c r="D4" s="18" t="s">
        <v>77</v>
      </c>
      <c r="E4" s="18" t="s">
        <v>78</v>
      </c>
      <c r="F4" s="18" t="s">
        <v>79</v>
      </c>
      <c r="G4" s="19"/>
      <c r="H4" s="20"/>
      <c r="I4" s="21"/>
      <c r="J4" s="12"/>
      <c r="K4" s="12"/>
      <c r="L4" s="12"/>
      <c r="M4" s="12"/>
      <c r="N4" s="12"/>
      <c r="O4" s="12"/>
      <c r="P4" s="12"/>
      <c r="Q4" s="12"/>
      <c r="R4" s="12"/>
      <c r="S4" s="12"/>
      <c r="T4" s="12"/>
      <c r="U4" s="12"/>
      <c r="V4" s="12"/>
      <c r="W4" s="12"/>
      <c r="X4" s="12"/>
      <c r="Y4" s="12"/>
      <c r="Z4" s="12"/>
    </row>
    <row r="5" ht="63.0" customHeight="1">
      <c r="A5" s="12"/>
      <c r="B5" s="22"/>
      <c r="C5" s="23"/>
      <c r="D5" s="24"/>
      <c r="E5" s="24"/>
      <c r="F5" s="24"/>
      <c r="G5" s="25"/>
      <c r="H5" s="26"/>
      <c r="I5" s="21"/>
      <c r="J5" s="12"/>
      <c r="K5" s="12"/>
      <c r="L5" s="12"/>
      <c r="M5" s="12"/>
      <c r="N5" s="12"/>
      <c r="O5" s="12"/>
      <c r="P5" s="12"/>
      <c r="Q5" s="12"/>
      <c r="R5" s="12"/>
      <c r="S5" s="12"/>
      <c r="T5" s="12"/>
      <c r="U5" s="12"/>
      <c r="V5" s="12"/>
      <c r="W5" s="12"/>
      <c r="X5" s="12"/>
      <c r="Y5" s="12"/>
      <c r="Z5" s="12"/>
    </row>
    <row r="6" ht="13.5" customHeight="1">
      <c r="A6" s="27"/>
      <c r="B6" s="28">
        <v>1.0</v>
      </c>
      <c r="C6" s="29" t="s">
        <v>80</v>
      </c>
      <c r="D6" s="30" t="s">
        <v>81</v>
      </c>
      <c r="E6" s="31" t="s">
        <v>82</v>
      </c>
      <c r="F6" s="32" t="s">
        <v>83</v>
      </c>
      <c r="G6" s="33"/>
      <c r="H6" s="34"/>
      <c r="I6" s="35"/>
      <c r="J6" s="27"/>
      <c r="K6" s="27"/>
      <c r="L6" s="27"/>
      <c r="M6" s="27"/>
      <c r="N6" s="27"/>
      <c r="O6" s="27"/>
      <c r="P6" s="27"/>
      <c r="Q6" s="27"/>
      <c r="R6" s="27"/>
      <c r="S6" s="27"/>
      <c r="T6" s="27"/>
      <c r="U6" s="27"/>
      <c r="V6" s="27"/>
      <c r="W6" s="27"/>
      <c r="X6" s="27"/>
      <c r="Y6" s="27"/>
      <c r="Z6" s="27"/>
    </row>
    <row r="7" ht="13.5" customHeight="1">
      <c r="A7" s="27"/>
      <c r="B7" s="28">
        <v>2.0</v>
      </c>
      <c r="C7" s="36" t="s">
        <v>84</v>
      </c>
      <c r="D7" s="30" t="s">
        <v>81</v>
      </c>
      <c r="E7" s="31" t="s">
        <v>85</v>
      </c>
      <c r="F7" s="32"/>
      <c r="G7" s="33"/>
      <c r="H7" s="34"/>
      <c r="I7" s="35"/>
      <c r="J7" s="27"/>
      <c r="K7" s="27"/>
      <c r="L7" s="27"/>
      <c r="M7" s="27"/>
      <c r="N7" s="27"/>
      <c r="O7" s="27"/>
      <c r="P7" s="27"/>
      <c r="Q7" s="27"/>
      <c r="R7" s="27"/>
      <c r="S7" s="27"/>
      <c r="T7" s="27"/>
      <c r="U7" s="27"/>
      <c r="V7" s="27"/>
      <c r="W7" s="27"/>
      <c r="X7" s="27"/>
      <c r="Y7" s="27"/>
      <c r="Z7" s="27"/>
    </row>
    <row r="8" ht="13.5" customHeight="1">
      <c r="A8" s="27"/>
      <c r="B8" s="28">
        <v>3.0</v>
      </c>
      <c r="C8" s="29" t="s">
        <v>86</v>
      </c>
      <c r="D8" s="30" t="s">
        <v>81</v>
      </c>
      <c r="E8" s="31" t="s">
        <v>85</v>
      </c>
      <c r="F8" s="32" t="s">
        <v>87</v>
      </c>
      <c r="G8" s="33"/>
      <c r="H8" s="34"/>
      <c r="I8" s="35"/>
      <c r="J8" s="27"/>
      <c r="K8" s="27"/>
      <c r="L8" s="27"/>
      <c r="M8" s="27"/>
      <c r="N8" s="27"/>
      <c r="O8" s="27"/>
      <c r="P8" s="27"/>
      <c r="Q8" s="27"/>
      <c r="R8" s="27"/>
      <c r="S8" s="27"/>
      <c r="T8" s="27"/>
      <c r="U8" s="27"/>
      <c r="V8" s="27"/>
      <c r="W8" s="27"/>
      <c r="X8" s="27"/>
      <c r="Y8" s="27"/>
      <c r="Z8" s="27"/>
    </row>
    <row r="9" ht="13.5" customHeight="1">
      <c r="A9" s="27"/>
      <c r="B9" s="28">
        <v>4.0</v>
      </c>
      <c r="C9" s="29" t="s">
        <v>88</v>
      </c>
      <c r="D9" s="30" t="s">
        <v>81</v>
      </c>
      <c r="E9" s="37"/>
      <c r="F9" s="32" t="s">
        <v>89</v>
      </c>
      <c r="G9" s="33"/>
      <c r="H9" s="34"/>
      <c r="I9" s="35"/>
      <c r="J9" s="27"/>
      <c r="K9" s="27"/>
      <c r="L9" s="27"/>
      <c r="M9" s="27"/>
      <c r="N9" s="27"/>
      <c r="O9" s="27"/>
      <c r="P9" s="27"/>
      <c r="Q9" s="27"/>
      <c r="R9" s="27"/>
      <c r="S9" s="27"/>
      <c r="T9" s="27"/>
      <c r="U9" s="27"/>
      <c r="V9" s="27"/>
      <c r="W9" s="27"/>
      <c r="X9" s="27"/>
      <c r="Y9" s="27"/>
      <c r="Z9" s="27"/>
    </row>
    <row r="10" ht="13.5" customHeight="1">
      <c r="A10" s="27"/>
      <c r="B10" s="28">
        <v>5.0</v>
      </c>
      <c r="C10" s="29" t="s">
        <v>90</v>
      </c>
      <c r="D10" s="30" t="s">
        <v>81</v>
      </c>
      <c r="E10" s="37"/>
      <c r="F10" s="32" t="s">
        <v>91</v>
      </c>
      <c r="G10" s="33"/>
      <c r="H10" s="34"/>
      <c r="I10" s="35"/>
      <c r="J10" s="27"/>
      <c r="K10" s="27"/>
      <c r="L10" s="27"/>
      <c r="M10" s="27"/>
      <c r="N10" s="27"/>
      <c r="O10" s="27"/>
      <c r="P10" s="27"/>
      <c r="Q10" s="27"/>
      <c r="R10" s="27"/>
      <c r="S10" s="27"/>
      <c r="T10" s="27"/>
      <c r="U10" s="27"/>
      <c r="V10" s="27"/>
      <c r="W10" s="27"/>
      <c r="X10" s="27"/>
      <c r="Y10" s="27"/>
      <c r="Z10" s="27"/>
    </row>
    <row r="11" ht="13.5" customHeight="1">
      <c r="A11" s="27"/>
      <c r="B11" s="28">
        <v>6.0</v>
      </c>
      <c r="C11" s="29" t="s">
        <v>92</v>
      </c>
      <c r="D11" s="30" t="s">
        <v>81</v>
      </c>
      <c r="E11" s="37"/>
      <c r="F11" s="32" t="s">
        <v>93</v>
      </c>
      <c r="G11" s="33"/>
      <c r="H11" s="34"/>
      <c r="I11" s="35"/>
      <c r="J11" s="27"/>
      <c r="K11" s="27"/>
      <c r="L11" s="27"/>
      <c r="M11" s="27"/>
      <c r="N11" s="27"/>
      <c r="O11" s="27"/>
      <c r="P11" s="27"/>
      <c r="Q11" s="27"/>
      <c r="R11" s="27"/>
      <c r="S11" s="27"/>
      <c r="T11" s="27"/>
      <c r="U11" s="27"/>
      <c r="V11" s="27"/>
      <c r="W11" s="27"/>
      <c r="X11" s="27"/>
      <c r="Y11" s="27"/>
      <c r="Z11" s="27"/>
    </row>
    <row r="12" ht="13.5" customHeight="1">
      <c r="A12" s="27"/>
      <c r="B12" s="28">
        <v>7.0</v>
      </c>
      <c r="C12" s="38" t="s">
        <v>94</v>
      </c>
      <c r="D12" s="30" t="s">
        <v>81</v>
      </c>
      <c r="E12" s="37"/>
      <c r="F12" s="32" t="s">
        <v>95</v>
      </c>
      <c r="G12" s="33"/>
      <c r="H12" s="34"/>
      <c r="I12" s="35"/>
      <c r="J12" s="27"/>
      <c r="K12" s="27"/>
      <c r="L12" s="27"/>
      <c r="M12" s="27"/>
      <c r="N12" s="27"/>
      <c r="O12" s="27"/>
      <c r="P12" s="27"/>
      <c r="Q12" s="27"/>
      <c r="R12" s="27"/>
      <c r="S12" s="27"/>
      <c r="T12" s="27"/>
      <c r="U12" s="27"/>
      <c r="V12" s="27"/>
      <c r="W12" s="27"/>
      <c r="X12" s="27"/>
      <c r="Y12" s="27"/>
      <c r="Z12" s="27"/>
    </row>
    <row r="13" ht="13.5" customHeight="1">
      <c r="A13" s="27"/>
      <c r="B13" s="28">
        <v>8.0</v>
      </c>
      <c r="C13" s="38" t="s">
        <v>96</v>
      </c>
      <c r="D13" s="30" t="s">
        <v>81</v>
      </c>
      <c r="E13" s="37"/>
      <c r="F13" s="32"/>
      <c r="G13" s="33"/>
      <c r="H13" s="34"/>
      <c r="I13" s="35"/>
      <c r="J13" s="27"/>
      <c r="K13" s="27"/>
      <c r="L13" s="27"/>
      <c r="M13" s="27"/>
      <c r="N13" s="27"/>
      <c r="O13" s="27"/>
      <c r="P13" s="27"/>
      <c r="Q13" s="27"/>
      <c r="R13" s="27"/>
      <c r="S13" s="27"/>
      <c r="T13" s="27"/>
      <c r="U13" s="27"/>
      <c r="V13" s="27"/>
      <c r="W13" s="27"/>
      <c r="X13" s="27"/>
      <c r="Y13" s="27"/>
      <c r="Z13" s="27"/>
    </row>
    <row r="14" ht="13.5" customHeight="1">
      <c r="A14" s="27"/>
      <c r="B14" s="28">
        <v>9.0</v>
      </c>
      <c r="C14" s="36" t="s">
        <v>97</v>
      </c>
      <c r="D14" s="30" t="s">
        <v>81</v>
      </c>
      <c r="E14" s="37"/>
      <c r="F14" s="32" t="s">
        <v>98</v>
      </c>
      <c r="G14" s="33"/>
      <c r="H14" s="34"/>
      <c r="I14" s="35"/>
      <c r="J14" s="27"/>
      <c r="K14" s="27"/>
      <c r="L14" s="27"/>
      <c r="M14" s="27"/>
      <c r="N14" s="27"/>
      <c r="O14" s="27"/>
      <c r="P14" s="27"/>
      <c r="Q14" s="27"/>
      <c r="R14" s="27"/>
      <c r="S14" s="27"/>
      <c r="T14" s="27"/>
      <c r="U14" s="27"/>
      <c r="V14" s="27"/>
      <c r="W14" s="27"/>
      <c r="X14" s="27"/>
      <c r="Y14" s="27"/>
      <c r="Z14" s="27"/>
    </row>
    <row r="15" ht="13.5" customHeight="1">
      <c r="A15" s="27"/>
      <c r="B15" s="28">
        <v>10.0</v>
      </c>
      <c r="C15" s="36" t="s">
        <v>99</v>
      </c>
      <c r="D15" s="30" t="s">
        <v>81</v>
      </c>
      <c r="E15" s="37"/>
      <c r="F15" s="32" t="s">
        <v>100</v>
      </c>
      <c r="G15" s="33"/>
      <c r="H15" s="34"/>
      <c r="I15" s="35"/>
      <c r="J15" s="27"/>
      <c r="K15" s="27"/>
      <c r="L15" s="27"/>
      <c r="M15" s="27"/>
      <c r="N15" s="27"/>
      <c r="O15" s="27"/>
      <c r="P15" s="27"/>
      <c r="Q15" s="27"/>
      <c r="R15" s="27"/>
      <c r="S15" s="27"/>
      <c r="T15" s="27"/>
      <c r="U15" s="27"/>
      <c r="V15" s="27"/>
      <c r="W15" s="27"/>
      <c r="X15" s="27"/>
      <c r="Y15" s="27"/>
      <c r="Z15" s="27"/>
    </row>
    <row r="16" ht="13.5" customHeight="1">
      <c r="A16" s="27"/>
      <c r="B16" s="28">
        <v>11.0</v>
      </c>
      <c r="C16" s="36" t="s">
        <v>101</v>
      </c>
      <c r="D16" s="30" t="s">
        <v>81</v>
      </c>
      <c r="E16" s="37"/>
      <c r="F16" s="32" t="s">
        <v>102</v>
      </c>
      <c r="G16" s="33"/>
      <c r="H16" s="34"/>
      <c r="I16" s="35"/>
      <c r="J16" s="27"/>
      <c r="K16" s="27"/>
      <c r="L16" s="27"/>
      <c r="M16" s="27"/>
      <c r="N16" s="27"/>
      <c r="O16" s="27"/>
      <c r="P16" s="27"/>
      <c r="Q16" s="27"/>
      <c r="R16" s="27"/>
      <c r="S16" s="27"/>
      <c r="T16" s="27"/>
      <c r="U16" s="27"/>
      <c r="V16" s="27"/>
      <c r="W16" s="27"/>
      <c r="X16" s="27"/>
      <c r="Y16" s="27"/>
      <c r="Z16" s="27"/>
    </row>
    <row r="17" ht="13.5" customHeight="1">
      <c r="A17" s="27"/>
      <c r="B17" s="28">
        <v>12.0</v>
      </c>
      <c r="C17" s="36" t="s">
        <v>103</v>
      </c>
      <c r="D17" s="30" t="s">
        <v>81</v>
      </c>
      <c r="E17" s="37"/>
      <c r="F17" s="32"/>
      <c r="G17" s="33"/>
      <c r="H17" s="34"/>
      <c r="I17" s="35"/>
      <c r="J17" s="27"/>
      <c r="K17" s="27"/>
      <c r="L17" s="27"/>
      <c r="M17" s="27"/>
      <c r="N17" s="27"/>
      <c r="O17" s="27"/>
      <c r="P17" s="27"/>
      <c r="Q17" s="27"/>
      <c r="R17" s="27"/>
      <c r="S17" s="27"/>
      <c r="T17" s="27"/>
      <c r="U17" s="27"/>
      <c r="V17" s="27"/>
      <c r="W17" s="27"/>
      <c r="X17" s="27"/>
      <c r="Y17" s="27"/>
      <c r="Z17" s="27"/>
    </row>
    <row r="18" ht="13.5" customHeight="1">
      <c r="A18" s="27"/>
      <c r="B18" s="28">
        <v>13.0</v>
      </c>
      <c r="C18" s="29" t="s">
        <v>104</v>
      </c>
      <c r="D18" s="30" t="s">
        <v>81</v>
      </c>
      <c r="E18" s="37"/>
      <c r="F18" s="39" t="s">
        <v>105</v>
      </c>
      <c r="G18" s="33"/>
      <c r="H18" s="34"/>
      <c r="I18" s="35"/>
      <c r="J18" s="27"/>
      <c r="K18" s="27"/>
      <c r="L18" s="27"/>
      <c r="M18" s="27"/>
      <c r="N18" s="27"/>
      <c r="O18" s="27"/>
      <c r="P18" s="27"/>
      <c r="Q18" s="27"/>
      <c r="R18" s="27"/>
      <c r="S18" s="27"/>
      <c r="T18" s="27"/>
      <c r="U18" s="27"/>
      <c r="V18" s="27"/>
      <c r="W18" s="27"/>
      <c r="X18" s="27"/>
      <c r="Y18" s="27"/>
      <c r="Z18" s="27"/>
    </row>
    <row r="19" ht="13.5" customHeight="1">
      <c r="A19" s="27"/>
      <c r="B19" s="28">
        <v>14.0</v>
      </c>
      <c r="C19" s="36" t="s">
        <v>106</v>
      </c>
      <c r="D19" s="30" t="s">
        <v>81</v>
      </c>
      <c r="E19" s="37"/>
      <c r="F19" s="32"/>
      <c r="G19" s="33"/>
      <c r="H19" s="34"/>
      <c r="I19" s="35"/>
      <c r="J19" s="27"/>
      <c r="K19" s="27"/>
      <c r="L19" s="27"/>
      <c r="M19" s="27"/>
      <c r="N19" s="27"/>
      <c r="O19" s="27"/>
      <c r="P19" s="27"/>
      <c r="Q19" s="27"/>
      <c r="R19" s="27"/>
      <c r="S19" s="27"/>
      <c r="T19" s="27"/>
      <c r="U19" s="27"/>
      <c r="V19" s="27"/>
      <c r="W19" s="27"/>
      <c r="X19" s="27"/>
      <c r="Y19" s="27"/>
      <c r="Z19" s="27"/>
    </row>
    <row r="20" ht="13.5" customHeight="1">
      <c r="A20" s="27"/>
      <c r="B20" s="28">
        <v>15.0</v>
      </c>
      <c r="C20" s="36" t="s">
        <v>107</v>
      </c>
      <c r="D20" s="30" t="s">
        <v>81</v>
      </c>
      <c r="E20" s="37"/>
      <c r="F20" s="39" t="s">
        <v>108</v>
      </c>
      <c r="G20" s="33"/>
      <c r="H20" s="34"/>
      <c r="I20" s="35"/>
      <c r="J20" s="27"/>
      <c r="K20" s="27"/>
      <c r="L20" s="27"/>
      <c r="M20" s="27"/>
      <c r="N20" s="27"/>
      <c r="O20" s="27"/>
      <c r="P20" s="27"/>
      <c r="Q20" s="27"/>
      <c r="R20" s="27"/>
      <c r="S20" s="27"/>
      <c r="T20" s="27"/>
      <c r="U20" s="27"/>
      <c r="V20" s="27"/>
      <c r="W20" s="27"/>
      <c r="X20" s="27"/>
      <c r="Y20" s="27"/>
      <c r="Z20" s="27"/>
    </row>
    <row r="21" ht="13.5" customHeight="1">
      <c r="A21" s="27"/>
      <c r="B21" s="28">
        <v>16.0</v>
      </c>
      <c r="C21" s="36" t="s">
        <v>109</v>
      </c>
      <c r="D21" s="30" t="s">
        <v>110</v>
      </c>
      <c r="E21" s="37"/>
      <c r="F21" s="39" t="s">
        <v>111</v>
      </c>
      <c r="G21" s="33"/>
      <c r="H21" s="34"/>
      <c r="I21" s="35"/>
      <c r="J21" s="27"/>
      <c r="K21" s="27"/>
      <c r="L21" s="27"/>
      <c r="M21" s="27"/>
      <c r="N21" s="27"/>
      <c r="O21" s="27"/>
      <c r="P21" s="27"/>
      <c r="Q21" s="27"/>
      <c r="R21" s="27"/>
      <c r="S21" s="27"/>
      <c r="T21" s="27"/>
      <c r="U21" s="27"/>
      <c r="V21" s="27"/>
      <c r="W21" s="27"/>
      <c r="X21" s="27"/>
      <c r="Y21" s="27"/>
      <c r="Z21" s="27"/>
    </row>
    <row r="22" ht="13.5" customHeight="1">
      <c r="A22" s="27"/>
      <c r="B22" s="28">
        <v>17.0</v>
      </c>
      <c r="C22" s="36" t="s">
        <v>112</v>
      </c>
      <c r="D22" s="30" t="s">
        <v>81</v>
      </c>
      <c r="E22" s="37"/>
      <c r="F22" s="32" t="s">
        <v>113</v>
      </c>
      <c r="G22" s="33"/>
      <c r="H22" s="34"/>
      <c r="I22" s="35"/>
      <c r="J22" s="27"/>
      <c r="K22" s="27"/>
      <c r="L22" s="27"/>
      <c r="M22" s="27"/>
      <c r="N22" s="27"/>
      <c r="O22" s="27"/>
      <c r="P22" s="27"/>
      <c r="Q22" s="27"/>
      <c r="R22" s="27"/>
      <c r="S22" s="27"/>
      <c r="T22" s="27"/>
      <c r="U22" s="27"/>
      <c r="V22" s="27"/>
      <c r="W22" s="27"/>
      <c r="X22" s="27"/>
      <c r="Y22" s="27"/>
      <c r="Z22" s="27"/>
    </row>
    <row r="23" ht="13.5" customHeight="1">
      <c r="A23" s="27"/>
      <c r="B23" s="28">
        <v>18.0</v>
      </c>
      <c r="C23" s="36" t="s">
        <v>114</v>
      </c>
      <c r="D23" s="30" t="s">
        <v>81</v>
      </c>
      <c r="E23" s="37"/>
      <c r="F23" s="32"/>
      <c r="G23" s="33"/>
      <c r="H23" s="34"/>
      <c r="I23" s="35"/>
      <c r="J23" s="27"/>
      <c r="K23" s="27"/>
      <c r="L23" s="27"/>
      <c r="M23" s="27"/>
      <c r="N23" s="27"/>
      <c r="O23" s="27"/>
      <c r="P23" s="27"/>
      <c r="Q23" s="27"/>
      <c r="R23" s="27"/>
      <c r="S23" s="27"/>
      <c r="T23" s="27"/>
      <c r="U23" s="27"/>
      <c r="V23" s="27"/>
      <c r="W23" s="27"/>
      <c r="X23" s="27"/>
      <c r="Y23" s="27"/>
      <c r="Z23" s="27"/>
    </row>
    <row r="24" ht="13.5" customHeight="1">
      <c r="A24" s="27"/>
      <c r="B24" s="28">
        <v>19.0</v>
      </c>
      <c r="C24" s="36" t="s">
        <v>115</v>
      </c>
      <c r="D24" s="30" t="s">
        <v>116</v>
      </c>
      <c r="E24" s="37"/>
      <c r="F24" s="32" t="s">
        <v>117</v>
      </c>
      <c r="G24" s="33"/>
      <c r="H24" s="34"/>
      <c r="I24" s="35"/>
      <c r="J24" s="27"/>
      <c r="K24" s="27"/>
      <c r="L24" s="27"/>
      <c r="M24" s="27"/>
      <c r="N24" s="27"/>
      <c r="O24" s="27"/>
      <c r="P24" s="27"/>
      <c r="Q24" s="27"/>
      <c r="R24" s="27"/>
      <c r="S24" s="27"/>
      <c r="T24" s="27"/>
      <c r="U24" s="27"/>
      <c r="V24" s="27"/>
      <c r="W24" s="27"/>
      <c r="X24" s="27"/>
      <c r="Y24" s="27"/>
      <c r="Z24" s="27"/>
    </row>
    <row r="25" ht="13.5" customHeight="1">
      <c r="A25" s="27"/>
      <c r="B25" s="28">
        <v>20.0</v>
      </c>
      <c r="C25" s="36" t="s">
        <v>118</v>
      </c>
      <c r="D25" s="30" t="s">
        <v>116</v>
      </c>
      <c r="E25" s="31" t="s">
        <v>119</v>
      </c>
      <c r="F25" s="32" t="s">
        <v>117</v>
      </c>
      <c r="G25" s="33"/>
      <c r="H25" s="34"/>
      <c r="I25" s="35"/>
      <c r="J25" s="27"/>
      <c r="K25" s="27"/>
      <c r="L25" s="27"/>
      <c r="M25" s="27"/>
      <c r="N25" s="27"/>
      <c r="O25" s="27"/>
      <c r="P25" s="27"/>
      <c r="Q25" s="27"/>
      <c r="R25" s="27"/>
      <c r="S25" s="27"/>
      <c r="T25" s="27"/>
      <c r="U25" s="27"/>
      <c r="V25" s="27"/>
      <c r="W25" s="27"/>
      <c r="X25" s="27"/>
      <c r="Y25" s="27"/>
      <c r="Z25" s="27"/>
    </row>
    <row r="26" ht="13.5" customHeight="1">
      <c r="A26" s="27"/>
      <c r="B26" s="28">
        <v>21.0</v>
      </c>
      <c r="C26" s="36" t="s">
        <v>120</v>
      </c>
      <c r="D26" s="30" t="s">
        <v>81</v>
      </c>
      <c r="E26" s="37"/>
      <c r="F26" s="32"/>
      <c r="G26" s="33"/>
      <c r="H26" s="34"/>
      <c r="I26" s="35"/>
      <c r="J26" s="27"/>
      <c r="K26" s="27"/>
      <c r="L26" s="27"/>
      <c r="M26" s="27"/>
      <c r="N26" s="27"/>
      <c r="O26" s="27"/>
      <c r="P26" s="27"/>
      <c r="Q26" s="27"/>
      <c r="R26" s="27"/>
      <c r="S26" s="27"/>
      <c r="T26" s="27"/>
      <c r="U26" s="27"/>
      <c r="V26" s="27"/>
      <c r="W26" s="27"/>
      <c r="X26" s="27"/>
      <c r="Y26" s="27"/>
      <c r="Z26" s="27"/>
    </row>
    <row r="27" ht="13.5" customHeight="1">
      <c r="A27" s="27"/>
      <c r="B27" s="28">
        <v>22.0</v>
      </c>
      <c r="C27" s="36" t="s">
        <v>121</v>
      </c>
      <c r="D27" s="30" t="s">
        <v>81</v>
      </c>
      <c r="E27" s="37"/>
      <c r="F27" s="32" t="s">
        <v>122</v>
      </c>
      <c r="G27" s="33"/>
      <c r="H27" s="34"/>
      <c r="I27" s="35"/>
      <c r="J27" s="27"/>
      <c r="K27" s="27"/>
      <c r="L27" s="27"/>
      <c r="M27" s="27"/>
      <c r="N27" s="27"/>
      <c r="O27" s="27"/>
      <c r="P27" s="27"/>
      <c r="Q27" s="27"/>
      <c r="R27" s="27"/>
      <c r="S27" s="27"/>
      <c r="T27" s="27"/>
      <c r="U27" s="27"/>
      <c r="V27" s="27"/>
      <c r="W27" s="27"/>
      <c r="X27" s="27"/>
      <c r="Y27" s="27"/>
      <c r="Z27" s="27"/>
    </row>
    <row r="28" ht="13.5" customHeight="1">
      <c r="A28" s="27"/>
      <c r="B28" s="28">
        <v>23.0</v>
      </c>
      <c r="C28" s="40" t="s">
        <v>123</v>
      </c>
      <c r="D28" s="30" t="s">
        <v>81</v>
      </c>
      <c r="E28" s="37"/>
      <c r="F28" s="32" t="s">
        <v>124</v>
      </c>
      <c r="G28" s="33"/>
      <c r="H28" s="34"/>
      <c r="I28" s="35"/>
      <c r="J28" s="27"/>
      <c r="K28" s="27"/>
      <c r="L28" s="27"/>
      <c r="M28" s="27"/>
      <c r="N28" s="27"/>
      <c r="O28" s="27"/>
      <c r="P28" s="27"/>
      <c r="Q28" s="27"/>
      <c r="R28" s="27"/>
      <c r="S28" s="27"/>
      <c r="T28" s="27"/>
      <c r="U28" s="27"/>
      <c r="V28" s="27"/>
      <c r="W28" s="27"/>
      <c r="X28" s="27"/>
      <c r="Y28" s="27"/>
      <c r="Z28" s="27"/>
    </row>
    <row r="29" ht="13.5" customHeight="1">
      <c r="A29" s="27"/>
      <c r="B29" s="28">
        <v>24.0</v>
      </c>
      <c r="C29" s="40" t="s">
        <v>125</v>
      </c>
      <c r="D29" s="30" t="s">
        <v>81</v>
      </c>
      <c r="E29" s="37"/>
      <c r="F29" s="32"/>
      <c r="G29" s="33"/>
      <c r="H29" s="34"/>
      <c r="I29" s="35"/>
      <c r="J29" s="27"/>
      <c r="K29" s="27"/>
      <c r="L29" s="27"/>
      <c r="M29" s="27"/>
      <c r="N29" s="27"/>
      <c r="O29" s="27"/>
      <c r="P29" s="27"/>
      <c r="Q29" s="27"/>
      <c r="R29" s="27"/>
      <c r="S29" s="27"/>
      <c r="T29" s="27"/>
      <c r="U29" s="27"/>
      <c r="V29" s="27"/>
      <c r="W29" s="27"/>
      <c r="X29" s="27"/>
      <c r="Y29" s="27"/>
      <c r="Z29" s="27"/>
    </row>
    <row r="30" ht="13.5" customHeight="1">
      <c r="A30" s="27"/>
      <c r="B30" s="28">
        <v>25.0</v>
      </c>
      <c r="C30" s="36" t="s">
        <v>126</v>
      </c>
      <c r="D30" s="30" t="s">
        <v>81</v>
      </c>
      <c r="E30" s="37"/>
      <c r="F30" s="39" t="s">
        <v>127</v>
      </c>
      <c r="G30" s="33"/>
      <c r="H30" s="34"/>
      <c r="I30" s="35"/>
      <c r="J30" s="27"/>
      <c r="K30" s="27"/>
      <c r="L30" s="27"/>
      <c r="M30" s="27"/>
      <c r="N30" s="27"/>
      <c r="O30" s="27"/>
      <c r="P30" s="27"/>
      <c r="Q30" s="27"/>
      <c r="R30" s="27"/>
      <c r="S30" s="27"/>
      <c r="T30" s="27"/>
      <c r="U30" s="27"/>
      <c r="V30" s="27"/>
      <c r="W30" s="27"/>
      <c r="X30" s="27"/>
      <c r="Y30" s="27"/>
      <c r="Z30" s="27"/>
    </row>
    <row r="31" ht="13.5" customHeight="1">
      <c r="A31" s="27"/>
      <c r="B31" s="28"/>
      <c r="C31" s="36"/>
      <c r="D31" s="30"/>
      <c r="E31" s="37"/>
      <c r="F31" s="32"/>
      <c r="G31" s="33"/>
      <c r="H31" s="34"/>
      <c r="I31" s="35"/>
      <c r="J31" s="27"/>
      <c r="K31" s="27"/>
      <c r="L31" s="27"/>
      <c r="M31" s="27"/>
      <c r="N31" s="27"/>
      <c r="O31" s="27"/>
      <c r="P31" s="27"/>
      <c r="Q31" s="27"/>
      <c r="R31" s="27"/>
      <c r="S31" s="27"/>
      <c r="T31" s="27"/>
      <c r="U31" s="27"/>
      <c r="V31" s="27"/>
      <c r="W31" s="27"/>
      <c r="X31" s="27"/>
      <c r="Y31" s="27"/>
      <c r="Z31" s="27"/>
    </row>
    <row r="32" ht="13.5" customHeight="1">
      <c r="A32" s="27"/>
      <c r="B32" s="28"/>
      <c r="C32" s="36"/>
      <c r="D32" s="30"/>
      <c r="E32" s="37"/>
      <c r="F32" s="32"/>
      <c r="G32" s="33"/>
      <c r="H32" s="34"/>
      <c r="I32" s="35"/>
      <c r="J32" s="27"/>
      <c r="K32" s="27"/>
      <c r="L32" s="27"/>
      <c r="M32" s="27"/>
      <c r="N32" s="27"/>
      <c r="O32" s="27"/>
      <c r="P32" s="27"/>
      <c r="Q32" s="27"/>
      <c r="R32" s="27"/>
      <c r="S32" s="27"/>
      <c r="T32" s="27"/>
      <c r="U32" s="27"/>
      <c r="V32" s="27"/>
      <c r="W32" s="27"/>
      <c r="X32" s="27"/>
      <c r="Y32" s="27"/>
      <c r="Z32" s="27"/>
    </row>
    <row r="33" ht="13.5" customHeight="1">
      <c r="A33" s="27"/>
      <c r="B33" s="28"/>
      <c r="C33" s="40"/>
      <c r="D33" s="30"/>
      <c r="E33" s="37"/>
      <c r="F33" s="32"/>
      <c r="G33" s="33"/>
      <c r="H33" s="34"/>
      <c r="I33" s="35"/>
      <c r="J33" s="27"/>
      <c r="K33" s="27"/>
      <c r="L33" s="27"/>
      <c r="M33" s="27"/>
      <c r="N33" s="27"/>
      <c r="O33" s="27"/>
      <c r="P33" s="27"/>
      <c r="Q33" s="27"/>
      <c r="R33" s="27"/>
      <c r="S33" s="27"/>
      <c r="T33" s="27"/>
      <c r="U33" s="27"/>
      <c r="V33" s="27"/>
      <c r="W33" s="27"/>
      <c r="X33" s="27"/>
      <c r="Y33" s="27"/>
      <c r="Z33" s="27"/>
    </row>
    <row r="34" ht="13.5" customHeight="1">
      <c r="A34" s="27"/>
      <c r="B34" s="28"/>
      <c r="C34" s="40"/>
      <c r="D34" s="30"/>
      <c r="E34" s="37"/>
      <c r="F34" s="32"/>
      <c r="G34" s="33"/>
      <c r="H34" s="34"/>
      <c r="I34" s="35"/>
      <c r="J34" s="27"/>
      <c r="K34" s="27"/>
      <c r="L34" s="27"/>
      <c r="M34" s="27"/>
      <c r="N34" s="27"/>
      <c r="O34" s="27"/>
      <c r="P34" s="27"/>
      <c r="Q34" s="27"/>
      <c r="R34" s="27"/>
      <c r="S34" s="27"/>
      <c r="T34" s="27"/>
      <c r="U34" s="27"/>
      <c r="V34" s="27"/>
      <c r="W34" s="27"/>
      <c r="X34" s="27"/>
      <c r="Y34" s="27"/>
      <c r="Z34" s="27"/>
    </row>
    <row r="35" ht="16.5" customHeight="1">
      <c r="A35" s="12"/>
      <c r="B35" s="41"/>
      <c r="C35" s="14"/>
      <c r="D35" s="14"/>
      <c r="E35" s="14"/>
      <c r="F35" s="5"/>
      <c r="G35" s="33"/>
      <c r="H35" s="34"/>
      <c r="I35" s="21"/>
      <c r="J35" s="12"/>
      <c r="K35" s="12"/>
      <c r="L35" s="12"/>
      <c r="M35" s="12"/>
      <c r="N35" s="12"/>
      <c r="O35" s="12"/>
      <c r="P35" s="12"/>
      <c r="Q35" s="12"/>
      <c r="R35" s="12"/>
      <c r="S35" s="12"/>
      <c r="T35" s="12"/>
      <c r="U35" s="12"/>
      <c r="V35" s="12"/>
      <c r="W35" s="12"/>
      <c r="X35" s="12"/>
      <c r="Y35" s="12"/>
      <c r="Z35" s="12"/>
    </row>
    <row r="36" ht="13.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3.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3.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3.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3.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3.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3.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3.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3.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3.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3.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3.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3.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3.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3.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3.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3.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3.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3.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3.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3.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3.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3.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3.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3.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3.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3.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3.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3.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3.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3.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3.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3.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3.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3.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3.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3.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3.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3.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3.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3.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3.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3.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3.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3.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3.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3.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3.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3.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3.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3.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3.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3.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3.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3.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3.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3.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3.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3.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3.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3.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3.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3.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3.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3.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3.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3.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3.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3.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3.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3.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3.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3.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3.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3.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3.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3.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3.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3.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3.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3.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3.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3.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3.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3.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3.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3.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3.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3.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3.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3.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3.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3.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3.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3.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3.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3.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3.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3.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3.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3.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3.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3.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3.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3.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3.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3.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3.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3.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3.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3.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3.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3.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3.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3.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3.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3.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3.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3.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3.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3.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3.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3.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3.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3.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3.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3.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3.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3.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3.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3.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3.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3.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3.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3.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3.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3.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3.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3.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3.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3.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3.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3.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3.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3.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3.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3.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3.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3.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3.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3.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3.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3.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3.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3.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3.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3.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3.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3.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3.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3.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3.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3.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3.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3.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3.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3.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3.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3.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3.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3.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3.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3.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3.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3.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3.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3.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3.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3.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3.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3.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3.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3.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3.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3.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3.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3.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3.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3.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3.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3.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3.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3.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3.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3.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3.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3.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3.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3.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3.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3.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3.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3.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3.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3.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3.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3.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3.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3.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3.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3.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3.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3.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3.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3.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3.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3.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3.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3.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3.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3.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3.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3.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3.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3.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3.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3.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3.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3.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3.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3.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3.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3.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3.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3.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3.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3.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3.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3.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3.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3.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3.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3.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3.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3.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3.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3.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3.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3.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3.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3.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3.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3.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3.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3.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3.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3.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3.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3.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3.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3.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3.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3.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3.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3.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3.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3.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3.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3.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3.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3.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3.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3.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3.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3.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3.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3.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3.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3.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3.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3.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3.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3.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3.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3.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3.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3.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3.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3.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3.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3.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3.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3.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3.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3.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3.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3.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3.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3.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3.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3.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3.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3.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3.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3.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3.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3.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3.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3.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3.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3.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3.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3.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3.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3.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3.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3.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3.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3.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3.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3.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3.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3.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3.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3.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3.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3.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3.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3.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3.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3.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3.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3.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3.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3.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3.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3.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3.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3.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3.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3.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3.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3.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3.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3.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3.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3.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3.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3.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3.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3.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3.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3.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3.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3.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3.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3.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3.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3.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3.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3.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3.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3.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3.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3.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3.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3.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3.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3.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3.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3.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3.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3.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3.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3.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3.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3.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3.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3.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3.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3.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3.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3.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3.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3.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3.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3.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3.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3.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3.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3.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3.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3.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3.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3.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3.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3.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3.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3.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3.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3.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3.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3.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3.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3.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3.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3.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3.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3.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3.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3.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3.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3.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3.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3.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3.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3.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3.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3.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3.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3.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3.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3.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3.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3.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3.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3.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3.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3.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3.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3.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3.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3.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3.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3.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3.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3.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3.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3.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3.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3.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3.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3.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3.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3.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3.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3.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3.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3.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3.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3.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3.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3.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3.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3.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3.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3.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3.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3.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3.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3.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3.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3.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3.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3.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3.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3.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3.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3.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3.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3.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3.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3.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3.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3.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3.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3.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3.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3.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3.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3.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3.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3.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3.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3.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3.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3.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3.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3.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3.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3.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3.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3.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3.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3.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3.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3.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3.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3.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3.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3.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3.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3.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3.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3.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3.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3.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3.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3.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3.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3.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3.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3.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3.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3.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3.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3.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3.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3.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3.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3.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3.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3.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3.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3.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3.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3.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3.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3.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3.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3.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3.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3.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3.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3.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3.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3.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3.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3.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3.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3.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3.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3.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3.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3.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3.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3.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3.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3.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3.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3.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3.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3.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3.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3.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3.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3.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3.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3.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3.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3.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3.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3.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3.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3.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3.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3.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3.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3.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3.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3.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3.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3.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3.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3.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3.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3.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3.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3.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3.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3.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3.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3.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3.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3.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3.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3.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3.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3.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3.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3.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3.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3.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3.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3.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3.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3.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3.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3.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3.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3.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3.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3.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3.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3.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3.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3.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3.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3.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3.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3.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3.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3.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3.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3.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3.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3.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3.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3.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3.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3.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3.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3.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3.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3.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3.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3.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3.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3.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3.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3.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3.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3.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3.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3.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3.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3.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3.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3.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3.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3.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3.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3.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3.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3.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3.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3.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3.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3.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3.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3.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3.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3.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3.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3.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3.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3.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3.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3.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3.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3.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3.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3.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3.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3.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3.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3.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3.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3.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3.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3.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3.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3.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3.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3.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3.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3.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3.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3.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3.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3.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3.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3.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3.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3.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3.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3.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3.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3.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3.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3.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3.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3.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3.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3.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3.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3.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3.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3.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3.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3.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3.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3.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3.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3.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3.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3.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3.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3.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3.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3.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3.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3.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3.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3.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3.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3.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3.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3.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3.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3.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3.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3.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3.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3.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3.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3.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3.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3.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3.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3.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3.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3.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3.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3.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3.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3.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3.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3.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3.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3.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3.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3.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3.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3.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3.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3.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3.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3.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3.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3.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3.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3.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3.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3.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3.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3.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3.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3.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3.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3.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3.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3.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3.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3.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3.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3.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3.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3.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3.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3.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3.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3.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3.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3.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3.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3.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3.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3.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3.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3.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3.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3.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3.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3.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3.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3.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3.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3.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3.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3.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3.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3.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3.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3.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3.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3.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3.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3.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3.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3.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3.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3.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3.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3.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3.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3.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3.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3.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3.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3.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3.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3.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3.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3.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3.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3.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3.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3.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3.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3.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3.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3.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3.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3.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3.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3.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3.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3.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3.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3.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3.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3.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3.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3.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3.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3.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3.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3.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3.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3.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3.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3.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3.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3.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3.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3.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3.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3.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3.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3.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3.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3.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3.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3.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3.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3.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3.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3.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3.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3.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3.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3.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3.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3.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3.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3.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3.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3.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3.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3.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3.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3.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3.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3.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3.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3.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3.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3.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3.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3.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3.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3.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3.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3.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3.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3.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3.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3.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3.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3.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3.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3.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3.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3.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3.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3.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3.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3.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3.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3.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3.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3.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3.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3.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3.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3.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3.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3.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3.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3.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3.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3.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3.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3.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3.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3.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3.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3.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3.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3.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3.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3.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3.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3.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3.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3.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3.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3.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3.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3.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3.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3.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3.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3.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3.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3.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3.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3.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3.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3.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3.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3.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3.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3.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3.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3.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3.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3.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3.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3.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3.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3.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3.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3.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3.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3.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3.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3.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3.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3.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3.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3.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3.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3.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7">
    <mergeCell ref="B2:F2"/>
    <mergeCell ref="B4:C5"/>
    <mergeCell ref="D4:D5"/>
    <mergeCell ref="E4:E5"/>
    <mergeCell ref="F4:F5"/>
    <mergeCell ref="G4:H4"/>
    <mergeCell ref="B35:F35"/>
  </mergeCells>
  <dataValidations>
    <dataValidation type="list" allowBlank="1" showErrorMessage="1" sqref="E6:E34">
      <formula1>List_1</formula1>
    </dataValidation>
    <dataValidation type="list" allowBlank="1" showErrorMessage="1" sqref="D6:D34">
      <formula1>List_2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sheetViews>
  <sheetFormatPr customHeight="1" defaultColWidth="14.43" defaultRowHeight="15.0"/>
  <cols>
    <col customWidth="1" min="1" max="1" width="2.86"/>
    <col customWidth="1" min="2" max="2" width="7.43"/>
    <col customWidth="1" min="3" max="3" width="60.71"/>
    <col customWidth="1" min="4" max="4" width="18.86"/>
    <col customWidth="1" min="5" max="5" width="19.86"/>
    <col customWidth="1" min="6" max="6" width="41.43"/>
    <col customWidth="1" min="7" max="8" width="24.71"/>
    <col customWidth="1" min="9" max="26" width="9.14"/>
  </cols>
  <sheetData>
    <row r="1" ht="13.5"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ht="33.75" customHeight="1">
      <c r="A2" s="12"/>
      <c r="B2" s="13" t="s">
        <v>128</v>
      </c>
      <c r="C2" s="14"/>
      <c r="D2" s="14"/>
      <c r="E2" s="14"/>
      <c r="F2" s="5"/>
      <c r="G2" s="12"/>
      <c r="H2" s="12"/>
      <c r="I2" s="12"/>
      <c r="J2" s="12"/>
      <c r="K2" s="12"/>
      <c r="L2" s="12"/>
      <c r="M2" s="12"/>
      <c r="N2" s="12"/>
      <c r="O2" s="12"/>
      <c r="P2" s="12"/>
      <c r="Q2" s="12"/>
      <c r="R2" s="12"/>
      <c r="S2" s="12"/>
      <c r="T2" s="12"/>
      <c r="U2" s="12"/>
      <c r="V2" s="12"/>
      <c r="W2" s="12"/>
      <c r="X2" s="12"/>
      <c r="Y2" s="12"/>
      <c r="Z2" s="12"/>
    </row>
    <row r="3" ht="13.5" customHeight="1">
      <c r="A3" s="12"/>
      <c r="B3" s="12"/>
      <c r="C3" s="12"/>
      <c r="D3" s="12"/>
      <c r="E3" s="12"/>
      <c r="F3" s="12"/>
      <c r="G3" s="12"/>
      <c r="H3" s="12"/>
      <c r="I3" s="12"/>
      <c r="J3" s="12"/>
      <c r="K3" s="12"/>
      <c r="L3" s="12"/>
      <c r="M3" s="12"/>
      <c r="N3" s="12"/>
      <c r="O3" s="12"/>
      <c r="P3" s="12"/>
      <c r="Q3" s="12"/>
      <c r="R3" s="12"/>
      <c r="S3" s="12"/>
      <c r="T3" s="12"/>
      <c r="U3" s="12"/>
      <c r="V3" s="12"/>
      <c r="W3" s="12"/>
      <c r="X3" s="12"/>
      <c r="Y3" s="12"/>
      <c r="Z3" s="12"/>
    </row>
    <row r="4" ht="25.5" customHeight="1">
      <c r="A4" s="12"/>
      <c r="B4" s="16" t="s">
        <v>128</v>
      </c>
      <c r="C4" s="17"/>
      <c r="D4" s="18" t="s">
        <v>129</v>
      </c>
      <c r="E4" s="18" t="s">
        <v>130</v>
      </c>
      <c r="F4" s="18" t="s">
        <v>79</v>
      </c>
      <c r="G4" s="19"/>
      <c r="H4" s="20"/>
      <c r="I4" s="21"/>
      <c r="J4" s="12"/>
      <c r="K4" s="12"/>
      <c r="L4" s="12"/>
      <c r="M4" s="12"/>
      <c r="N4" s="12"/>
      <c r="O4" s="12"/>
      <c r="P4" s="12"/>
      <c r="Q4" s="12"/>
      <c r="R4" s="12"/>
      <c r="S4" s="12"/>
      <c r="T4" s="12"/>
      <c r="U4" s="12"/>
      <c r="V4" s="12"/>
      <c r="W4" s="12"/>
      <c r="X4" s="12"/>
      <c r="Y4" s="12"/>
      <c r="Z4" s="12"/>
    </row>
    <row r="5" ht="63.0" customHeight="1">
      <c r="A5" s="12"/>
      <c r="B5" s="22"/>
      <c r="C5" s="23"/>
      <c r="D5" s="24"/>
      <c r="E5" s="24"/>
      <c r="F5" s="24"/>
      <c r="G5" s="25"/>
      <c r="H5" s="26"/>
      <c r="I5" s="21"/>
      <c r="J5" s="12"/>
      <c r="K5" s="12"/>
      <c r="L5" s="12"/>
      <c r="M5" s="12"/>
      <c r="N5" s="12"/>
      <c r="O5" s="12"/>
      <c r="P5" s="12"/>
      <c r="Q5" s="12"/>
      <c r="R5" s="12"/>
      <c r="S5" s="12"/>
      <c r="T5" s="12"/>
      <c r="U5" s="12"/>
      <c r="V5" s="12"/>
      <c r="W5" s="12"/>
      <c r="X5" s="12"/>
      <c r="Y5" s="12"/>
      <c r="Z5" s="12"/>
    </row>
    <row r="6" ht="13.5" customHeight="1">
      <c r="A6" s="27"/>
      <c r="B6" s="28">
        <v>1.0</v>
      </c>
      <c r="C6" s="36" t="s">
        <v>131</v>
      </c>
      <c r="D6" s="30" t="s">
        <v>81</v>
      </c>
      <c r="E6" s="37"/>
      <c r="F6" s="32"/>
      <c r="G6" s="33"/>
      <c r="H6" s="34"/>
      <c r="I6" s="35"/>
      <c r="J6" s="27"/>
      <c r="K6" s="27"/>
      <c r="L6" s="27"/>
      <c r="M6" s="27"/>
      <c r="N6" s="27"/>
      <c r="O6" s="27"/>
      <c r="P6" s="27"/>
      <c r="Q6" s="27"/>
      <c r="R6" s="27"/>
      <c r="S6" s="27"/>
      <c r="T6" s="27"/>
      <c r="U6" s="27"/>
      <c r="V6" s="27"/>
      <c r="W6" s="27"/>
      <c r="X6" s="27"/>
      <c r="Y6" s="27"/>
      <c r="Z6" s="27"/>
    </row>
    <row r="7" ht="13.5" customHeight="1">
      <c r="A7" s="27"/>
      <c r="B7" s="28">
        <v>2.0</v>
      </c>
      <c r="C7" s="36" t="s">
        <v>132</v>
      </c>
      <c r="D7" s="30" t="s">
        <v>81</v>
      </c>
      <c r="E7" s="37"/>
      <c r="F7" s="32"/>
      <c r="G7" s="33"/>
      <c r="H7" s="34"/>
      <c r="I7" s="35"/>
      <c r="J7" s="27"/>
      <c r="K7" s="27"/>
      <c r="L7" s="27"/>
      <c r="M7" s="27"/>
      <c r="N7" s="27"/>
      <c r="O7" s="27"/>
      <c r="P7" s="27"/>
      <c r="Q7" s="27"/>
      <c r="R7" s="27"/>
      <c r="S7" s="27"/>
      <c r="T7" s="27"/>
      <c r="U7" s="27"/>
      <c r="V7" s="27"/>
      <c r="W7" s="27"/>
      <c r="X7" s="27"/>
      <c r="Y7" s="27"/>
      <c r="Z7" s="27"/>
    </row>
    <row r="8" ht="13.5" customHeight="1">
      <c r="A8" s="27"/>
      <c r="B8" s="28">
        <v>3.0</v>
      </c>
      <c r="C8" s="36" t="s">
        <v>133</v>
      </c>
      <c r="D8" s="30" t="s">
        <v>116</v>
      </c>
      <c r="E8" s="37"/>
      <c r="F8" s="32"/>
      <c r="G8" s="33"/>
      <c r="H8" s="34"/>
      <c r="I8" s="35"/>
      <c r="J8" s="27"/>
      <c r="K8" s="27"/>
      <c r="L8" s="27"/>
      <c r="M8" s="27"/>
      <c r="N8" s="27"/>
      <c r="O8" s="27"/>
      <c r="P8" s="27"/>
      <c r="Q8" s="27"/>
      <c r="R8" s="27"/>
      <c r="S8" s="27"/>
      <c r="T8" s="27"/>
      <c r="U8" s="27"/>
      <c r="V8" s="27"/>
      <c r="W8" s="27"/>
      <c r="X8" s="27"/>
      <c r="Y8" s="27"/>
      <c r="Z8" s="27"/>
    </row>
    <row r="9" ht="13.5" customHeight="1">
      <c r="A9" s="27"/>
      <c r="B9" s="28">
        <v>4.0</v>
      </c>
      <c r="C9" s="36" t="s">
        <v>134</v>
      </c>
      <c r="D9" s="30" t="s">
        <v>81</v>
      </c>
      <c r="E9" s="37"/>
      <c r="F9" s="32"/>
      <c r="G9" s="33"/>
      <c r="H9" s="34"/>
      <c r="I9" s="35"/>
      <c r="J9" s="27"/>
      <c r="K9" s="27"/>
      <c r="L9" s="27"/>
      <c r="M9" s="27"/>
      <c r="N9" s="27"/>
      <c r="O9" s="27"/>
      <c r="P9" s="27"/>
      <c r="Q9" s="27"/>
      <c r="R9" s="27"/>
      <c r="S9" s="27"/>
      <c r="T9" s="27"/>
      <c r="U9" s="27"/>
      <c r="V9" s="27"/>
      <c r="W9" s="27"/>
      <c r="X9" s="27"/>
      <c r="Y9" s="27"/>
      <c r="Z9" s="27"/>
    </row>
    <row r="10" ht="13.5" customHeight="1">
      <c r="A10" s="27"/>
      <c r="B10" s="28">
        <v>5.0</v>
      </c>
      <c r="C10" s="36" t="s">
        <v>135</v>
      </c>
      <c r="D10" s="30" t="s">
        <v>81</v>
      </c>
      <c r="E10" s="37"/>
      <c r="F10" s="32"/>
      <c r="G10" s="33"/>
      <c r="H10" s="34"/>
      <c r="I10" s="35"/>
      <c r="J10" s="27"/>
      <c r="K10" s="27"/>
      <c r="L10" s="27"/>
      <c r="M10" s="27"/>
      <c r="N10" s="27"/>
      <c r="O10" s="27"/>
      <c r="P10" s="27"/>
      <c r="Q10" s="27"/>
      <c r="R10" s="27"/>
      <c r="S10" s="27"/>
      <c r="T10" s="27"/>
      <c r="U10" s="27"/>
      <c r="V10" s="27"/>
      <c r="W10" s="27"/>
      <c r="X10" s="27"/>
      <c r="Y10" s="27"/>
      <c r="Z10" s="27"/>
    </row>
    <row r="11" ht="13.5" customHeight="1">
      <c r="A11" s="27"/>
      <c r="B11" s="28">
        <v>6.0</v>
      </c>
      <c r="C11" s="36" t="s">
        <v>136</v>
      </c>
      <c r="D11" s="30" t="s">
        <v>81</v>
      </c>
      <c r="E11" s="37"/>
      <c r="F11" s="32"/>
      <c r="G11" s="33"/>
      <c r="H11" s="34"/>
      <c r="I11" s="35"/>
      <c r="J11" s="27"/>
      <c r="K11" s="27"/>
      <c r="L11" s="27"/>
      <c r="M11" s="27"/>
      <c r="N11" s="27"/>
      <c r="O11" s="27"/>
      <c r="P11" s="27"/>
      <c r="Q11" s="27"/>
      <c r="R11" s="27"/>
      <c r="S11" s="27"/>
      <c r="T11" s="27"/>
      <c r="U11" s="27"/>
      <c r="V11" s="27"/>
      <c r="W11" s="27"/>
      <c r="X11" s="27"/>
      <c r="Y11" s="27"/>
      <c r="Z11" s="27"/>
    </row>
    <row r="12" ht="13.5" customHeight="1">
      <c r="A12" s="27"/>
      <c r="B12" s="28">
        <v>7.0</v>
      </c>
      <c r="C12" s="40" t="s">
        <v>137</v>
      </c>
      <c r="D12" s="30" t="s">
        <v>81</v>
      </c>
      <c r="E12" s="37"/>
      <c r="F12" s="32"/>
      <c r="G12" s="33"/>
      <c r="H12" s="34"/>
      <c r="I12" s="35"/>
      <c r="J12" s="27"/>
      <c r="K12" s="27"/>
      <c r="L12" s="27"/>
      <c r="M12" s="27"/>
      <c r="N12" s="27"/>
      <c r="O12" s="27"/>
      <c r="P12" s="27"/>
      <c r="Q12" s="27"/>
      <c r="R12" s="27"/>
      <c r="S12" s="27"/>
      <c r="T12" s="27"/>
      <c r="U12" s="27"/>
      <c r="V12" s="27"/>
      <c r="W12" s="27"/>
      <c r="X12" s="27"/>
      <c r="Y12" s="27"/>
      <c r="Z12" s="27"/>
    </row>
    <row r="13" ht="13.5" customHeight="1">
      <c r="A13" s="27"/>
      <c r="B13" s="28">
        <v>8.0</v>
      </c>
      <c r="C13" s="40" t="s">
        <v>138</v>
      </c>
      <c r="D13" s="30" t="s">
        <v>116</v>
      </c>
      <c r="E13" s="37"/>
      <c r="F13" s="32" t="s">
        <v>139</v>
      </c>
      <c r="G13" s="33"/>
      <c r="H13" s="34"/>
      <c r="I13" s="35"/>
      <c r="J13" s="27"/>
      <c r="K13" s="27"/>
      <c r="L13" s="27"/>
      <c r="M13" s="27"/>
      <c r="N13" s="27"/>
      <c r="O13" s="27"/>
      <c r="P13" s="27"/>
      <c r="Q13" s="27"/>
      <c r="R13" s="27"/>
      <c r="S13" s="27"/>
      <c r="T13" s="27"/>
      <c r="U13" s="27"/>
      <c r="V13" s="27"/>
      <c r="W13" s="27"/>
      <c r="X13" s="27"/>
      <c r="Y13" s="27"/>
      <c r="Z13" s="27"/>
    </row>
    <row r="14" ht="13.5" customHeight="1">
      <c r="A14" s="27"/>
      <c r="B14" s="28">
        <v>9.0</v>
      </c>
      <c r="C14" s="36" t="s">
        <v>140</v>
      </c>
      <c r="D14" s="30" t="s">
        <v>81</v>
      </c>
      <c r="E14" s="37"/>
      <c r="F14" s="32"/>
      <c r="G14" s="33"/>
      <c r="H14" s="34"/>
      <c r="I14" s="35"/>
      <c r="J14" s="27"/>
      <c r="K14" s="27"/>
      <c r="L14" s="27"/>
      <c r="M14" s="27"/>
      <c r="N14" s="27"/>
      <c r="O14" s="27"/>
      <c r="P14" s="27"/>
      <c r="Q14" s="27"/>
      <c r="R14" s="27"/>
      <c r="S14" s="27"/>
      <c r="T14" s="27"/>
      <c r="U14" s="27"/>
      <c r="V14" s="27"/>
      <c r="W14" s="27"/>
      <c r="X14" s="27"/>
      <c r="Y14" s="27"/>
      <c r="Z14" s="27"/>
    </row>
    <row r="15" ht="13.5" customHeight="1">
      <c r="A15" s="27"/>
      <c r="B15" s="28">
        <v>10.0</v>
      </c>
      <c r="C15" s="36" t="s">
        <v>141</v>
      </c>
      <c r="D15" s="30" t="s">
        <v>81</v>
      </c>
      <c r="E15" s="37"/>
      <c r="F15" s="32"/>
      <c r="G15" s="33"/>
      <c r="H15" s="34"/>
      <c r="I15" s="35"/>
      <c r="J15" s="27"/>
      <c r="K15" s="27"/>
      <c r="L15" s="27"/>
      <c r="M15" s="27"/>
      <c r="N15" s="27"/>
      <c r="O15" s="27"/>
      <c r="P15" s="27"/>
      <c r="Q15" s="27"/>
      <c r="R15" s="27"/>
      <c r="S15" s="27"/>
      <c r="T15" s="27"/>
      <c r="U15" s="27"/>
      <c r="V15" s="27"/>
      <c r="W15" s="27"/>
      <c r="X15" s="27"/>
      <c r="Y15" s="27"/>
      <c r="Z15" s="27"/>
    </row>
    <row r="16" ht="13.5" customHeight="1">
      <c r="A16" s="27"/>
      <c r="B16" s="28">
        <v>11.0</v>
      </c>
      <c r="C16" s="36" t="s">
        <v>142</v>
      </c>
      <c r="D16" s="30" t="s">
        <v>116</v>
      </c>
      <c r="E16" s="37"/>
      <c r="F16" s="32" t="s">
        <v>143</v>
      </c>
      <c r="G16" s="33"/>
      <c r="H16" s="34"/>
      <c r="I16" s="35"/>
      <c r="J16" s="27"/>
      <c r="K16" s="27"/>
      <c r="L16" s="27"/>
      <c r="M16" s="27"/>
      <c r="N16" s="27"/>
      <c r="O16" s="27"/>
      <c r="P16" s="27"/>
      <c r="Q16" s="27"/>
      <c r="R16" s="27"/>
      <c r="S16" s="27"/>
      <c r="T16" s="27"/>
      <c r="U16" s="27"/>
      <c r="V16" s="27"/>
      <c r="W16" s="27"/>
      <c r="X16" s="27"/>
      <c r="Y16" s="27"/>
      <c r="Z16" s="27"/>
    </row>
    <row r="17" ht="13.5" customHeight="1">
      <c r="A17" s="27"/>
      <c r="B17" s="28">
        <v>12.0</v>
      </c>
      <c r="C17" s="36" t="s">
        <v>144</v>
      </c>
      <c r="D17" s="30" t="s">
        <v>116</v>
      </c>
      <c r="E17" s="37"/>
      <c r="F17" s="32" t="s">
        <v>145</v>
      </c>
      <c r="G17" s="33"/>
      <c r="H17" s="34"/>
      <c r="I17" s="35"/>
      <c r="J17" s="27"/>
      <c r="K17" s="27"/>
      <c r="L17" s="27"/>
      <c r="M17" s="27"/>
      <c r="N17" s="27"/>
      <c r="O17" s="27"/>
      <c r="P17" s="27"/>
      <c r="Q17" s="27"/>
      <c r="R17" s="27"/>
      <c r="S17" s="27"/>
      <c r="T17" s="27"/>
      <c r="U17" s="27"/>
      <c r="V17" s="27"/>
      <c r="W17" s="27"/>
      <c r="X17" s="27"/>
      <c r="Y17" s="27"/>
      <c r="Z17" s="27"/>
    </row>
    <row r="18" ht="13.5" customHeight="1">
      <c r="A18" s="27"/>
      <c r="B18" s="28">
        <v>13.0</v>
      </c>
      <c r="C18" s="36" t="s">
        <v>146</v>
      </c>
      <c r="D18" s="30" t="s">
        <v>81</v>
      </c>
      <c r="E18" s="37"/>
      <c r="F18" s="32"/>
      <c r="G18" s="33"/>
      <c r="H18" s="34"/>
      <c r="I18" s="35"/>
      <c r="J18" s="27"/>
      <c r="K18" s="27"/>
      <c r="L18" s="27"/>
      <c r="M18" s="27"/>
      <c r="N18" s="27"/>
      <c r="O18" s="27"/>
      <c r="P18" s="27"/>
      <c r="Q18" s="27"/>
      <c r="R18" s="27"/>
      <c r="S18" s="27"/>
      <c r="T18" s="27"/>
      <c r="U18" s="27"/>
      <c r="V18" s="27"/>
      <c r="W18" s="27"/>
      <c r="X18" s="27"/>
      <c r="Y18" s="27"/>
      <c r="Z18" s="27"/>
    </row>
    <row r="19" ht="13.5" customHeight="1">
      <c r="A19" s="27"/>
      <c r="B19" s="28">
        <v>14.0</v>
      </c>
      <c r="C19" s="36" t="s">
        <v>147</v>
      </c>
      <c r="D19" s="30" t="s">
        <v>81</v>
      </c>
      <c r="E19" s="37"/>
      <c r="F19" s="32"/>
      <c r="G19" s="33"/>
      <c r="H19" s="34"/>
      <c r="I19" s="35"/>
      <c r="J19" s="27"/>
      <c r="K19" s="27"/>
      <c r="L19" s="27"/>
      <c r="M19" s="27"/>
      <c r="N19" s="27"/>
      <c r="O19" s="27"/>
      <c r="P19" s="27"/>
      <c r="Q19" s="27"/>
      <c r="R19" s="27"/>
      <c r="S19" s="27"/>
      <c r="T19" s="27"/>
      <c r="U19" s="27"/>
      <c r="V19" s="27"/>
      <c r="W19" s="27"/>
      <c r="X19" s="27"/>
      <c r="Y19" s="27"/>
      <c r="Z19" s="27"/>
    </row>
    <row r="20" ht="13.5" customHeight="1">
      <c r="A20" s="27"/>
      <c r="B20" s="28">
        <v>15.0</v>
      </c>
      <c r="C20" s="36" t="s">
        <v>148</v>
      </c>
      <c r="D20" s="30" t="s">
        <v>81</v>
      </c>
      <c r="E20" s="37"/>
      <c r="F20" s="32"/>
      <c r="G20" s="33"/>
      <c r="H20" s="34"/>
      <c r="I20" s="35"/>
      <c r="J20" s="27"/>
      <c r="K20" s="27"/>
      <c r="L20" s="27"/>
      <c r="M20" s="27"/>
      <c r="N20" s="27"/>
      <c r="O20" s="27"/>
      <c r="P20" s="27"/>
      <c r="Q20" s="27"/>
      <c r="R20" s="27"/>
      <c r="S20" s="27"/>
      <c r="T20" s="27"/>
      <c r="U20" s="27"/>
      <c r="V20" s="27"/>
      <c r="W20" s="27"/>
      <c r="X20" s="27"/>
      <c r="Y20" s="27"/>
      <c r="Z20" s="27"/>
    </row>
    <row r="21" ht="13.5" customHeight="1">
      <c r="A21" s="27"/>
      <c r="B21" s="28">
        <v>16.0</v>
      </c>
      <c r="C21" s="36" t="s">
        <v>149</v>
      </c>
      <c r="D21" s="30" t="s">
        <v>81</v>
      </c>
      <c r="E21" s="37"/>
      <c r="F21" s="32"/>
      <c r="G21" s="33"/>
      <c r="H21" s="34"/>
      <c r="I21" s="35"/>
      <c r="J21" s="27"/>
      <c r="K21" s="27"/>
      <c r="L21" s="27"/>
      <c r="M21" s="27"/>
      <c r="N21" s="27"/>
      <c r="O21" s="27"/>
      <c r="P21" s="27"/>
      <c r="Q21" s="27"/>
      <c r="R21" s="27"/>
      <c r="S21" s="27"/>
      <c r="T21" s="27"/>
      <c r="U21" s="27"/>
      <c r="V21" s="27"/>
      <c r="W21" s="27"/>
      <c r="X21" s="27"/>
      <c r="Y21" s="27"/>
      <c r="Z21" s="27"/>
    </row>
    <row r="22" ht="13.5" customHeight="1">
      <c r="A22" s="27"/>
      <c r="B22" s="28">
        <v>17.0</v>
      </c>
      <c r="C22" s="36" t="s">
        <v>150</v>
      </c>
      <c r="D22" s="30" t="s">
        <v>81</v>
      </c>
      <c r="E22" s="37"/>
      <c r="F22" s="32"/>
      <c r="G22" s="33"/>
      <c r="H22" s="34"/>
      <c r="I22" s="35"/>
      <c r="J22" s="27"/>
      <c r="K22" s="27"/>
      <c r="L22" s="27"/>
      <c r="M22" s="27"/>
      <c r="N22" s="27"/>
      <c r="O22" s="27"/>
      <c r="P22" s="27"/>
      <c r="Q22" s="27"/>
      <c r="R22" s="27"/>
      <c r="S22" s="27"/>
      <c r="T22" s="27"/>
      <c r="U22" s="27"/>
      <c r="V22" s="27"/>
      <c r="W22" s="27"/>
      <c r="X22" s="27"/>
      <c r="Y22" s="27"/>
      <c r="Z22" s="27"/>
    </row>
    <row r="23" ht="13.5" customHeight="1">
      <c r="A23" s="27"/>
      <c r="B23" s="28">
        <v>18.0</v>
      </c>
      <c r="C23" s="36" t="s">
        <v>151</v>
      </c>
      <c r="D23" s="30" t="s">
        <v>81</v>
      </c>
      <c r="E23" s="37"/>
      <c r="F23" s="32"/>
      <c r="G23" s="33"/>
      <c r="H23" s="34"/>
      <c r="I23" s="35"/>
      <c r="J23" s="27"/>
      <c r="K23" s="27"/>
      <c r="L23" s="27"/>
      <c r="M23" s="27"/>
      <c r="N23" s="27"/>
      <c r="O23" s="27"/>
      <c r="P23" s="27"/>
      <c r="Q23" s="27"/>
      <c r="R23" s="27"/>
      <c r="S23" s="27"/>
      <c r="T23" s="27"/>
      <c r="U23" s="27"/>
      <c r="V23" s="27"/>
      <c r="W23" s="27"/>
      <c r="X23" s="27"/>
      <c r="Y23" s="27"/>
      <c r="Z23" s="27"/>
    </row>
    <row r="24" ht="13.5" customHeight="1">
      <c r="A24" s="27"/>
      <c r="B24" s="28">
        <v>19.0</v>
      </c>
      <c r="C24" s="36" t="s">
        <v>152</v>
      </c>
      <c r="D24" s="30" t="s">
        <v>81</v>
      </c>
      <c r="E24" s="37"/>
      <c r="F24" s="32"/>
      <c r="G24" s="33"/>
      <c r="H24" s="34"/>
      <c r="I24" s="35"/>
      <c r="J24" s="27"/>
      <c r="K24" s="27"/>
      <c r="L24" s="27"/>
      <c r="M24" s="27"/>
      <c r="N24" s="27"/>
      <c r="O24" s="27"/>
      <c r="P24" s="27"/>
      <c r="Q24" s="27"/>
      <c r="R24" s="27"/>
      <c r="S24" s="27"/>
      <c r="T24" s="27"/>
      <c r="U24" s="27"/>
      <c r="V24" s="27"/>
      <c r="W24" s="27"/>
      <c r="X24" s="27"/>
      <c r="Y24" s="27"/>
      <c r="Z24" s="27"/>
    </row>
    <row r="25" ht="13.5" customHeight="1">
      <c r="A25" s="27"/>
      <c r="B25" s="28">
        <v>20.0</v>
      </c>
      <c r="C25" s="36" t="s">
        <v>153</v>
      </c>
      <c r="D25" s="30" t="s">
        <v>81</v>
      </c>
      <c r="E25" s="37"/>
      <c r="F25" s="32"/>
      <c r="G25" s="33"/>
      <c r="H25" s="34"/>
      <c r="I25" s="35"/>
      <c r="J25" s="27"/>
      <c r="K25" s="27"/>
      <c r="L25" s="27"/>
      <c r="M25" s="27"/>
      <c r="N25" s="27"/>
      <c r="O25" s="27"/>
      <c r="P25" s="27"/>
      <c r="Q25" s="27"/>
      <c r="R25" s="27"/>
      <c r="S25" s="27"/>
      <c r="T25" s="27"/>
      <c r="U25" s="27"/>
      <c r="V25" s="27"/>
      <c r="W25" s="27"/>
      <c r="X25" s="27"/>
      <c r="Y25" s="27"/>
      <c r="Z25" s="27"/>
    </row>
    <row r="26" ht="13.5" customHeight="1">
      <c r="A26" s="27"/>
      <c r="B26" s="28">
        <v>21.0</v>
      </c>
      <c r="C26" s="36" t="s">
        <v>154</v>
      </c>
      <c r="D26" s="30" t="s">
        <v>81</v>
      </c>
      <c r="E26" s="37"/>
      <c r="F26" s="32"/>
      <c r="G26" s="33"/>
      <c r="H26" s="34"/>
      <c r="I26" s="35"/>
      <c r="J26" s="27"/>
      <c r="K26" s="27"/>
      <c r="L26" s="27"/>
      <c r="M26" s="27"/>
      <c r="N26" s="27"/>
      <c r="O26" s="27"/>
      <c r="P26" s="27"/>
      <c r="Q26" s="27"/>
      <c r="R26" s="27"/>
      <c r="S26" s="27"/>
      <c r="T26" s="27"/>
      <c r="U26" s="27"/>
      <c r="V26" s="27"/>
      <c r="W26" s="27"/>
      <c r="X26" s="27"/>
      <c r="Y26" s="27"/>
      <c r="Z26" s="27"/>
    </row>
    <row r="27" ht="13.5" customHeight="1">
      <c r="A27" s="27"/>
      <c r="B27" s="28">
        <v>22.0</v>
      </c>
      <c r="C27" s="36"/>
      <c r="D27" s="30"/>
      <c r="E27" s="37"/>
      <c r="F27" s="39" t="s">
        <v>155</v>
      </c>
      <c r="G27" s="33"/>
      <c r="H27" s="34"/>
      <c r="I27" s="35"/>
      <c r="J27" s="27"/>
      <c r="K27" s="27"/>
      <c r="L27" s="27"/>
      <c r="M27" s="27"/>
      <c r="N27" s="27"/>
      <c r="O27" s="27"/>
      <c r="P27" s="27"/>
      <c r="Q27" s="27"/>
      <c r="R27" s="27"/>
      <c r="S27" s="27"/>
      <c r="T27" s="27"/>
      <c r="U27" s="27"/>
      <c r="V27" s="27"/>
      <c r="W27" s="27"/>
      <c r="X27" s="27"/>
      <c r="Y27" s="27"/>
      <c r="Z27" s="27"/>
    </row>
    <row r="28" ht="13.5" customHeight="1">
      <c r="A28" s="27"/>
      <c r="B28" s="28">
        <v>23.0</v>
      </c>
      <c r="C28" s="36"/>
      <c r="D28" s="30"/>
      <c r="E28" s="37"/>
      <c r="F28" s="32"/>
      <c r="G28" s="33"/>
      <c r="H28" s="34"/>
      <c r="I28" s="35"/>
      <c r="J28" s="27"/>
      <c r="K28" s="27"/>
      <c r="L28" s="27"/>
      <c r="M28" s="27"/>
      <c r="N28" s="27"/>
      <c r="O28" s="27"/>
      <c r="P28" s="27"/>
      <c r="Q28" s="27"/>
      <c r="R28" s="27"/>
      <c r="S28" s="27"/>
      <c r="T28" s="27"/>
      <c r="U28" s="27"/>
      <c r="V28" s="27"/>
      <c r="W28" s="27"/>
      <c r="X28" s="27"/>
      <c r="Y28" s="27"/>
      <c r="Z28" s="27"/>
    </row>
    <row r="29" ht="13.5" customHeight="1">
      <c r="A29" s="27"/>
      <c r="B29" s="28">
        <v>24.0</v>
      </c>
      <c r="C29" s="36"/>
      <c r="D29" s="30"/>
      <c r="E29" s="37"/>
      <c r="F29" s="32"/>
      <c r="G29" s="33"/>
      <c r="H29" s="34"/>
      <c r="I29" s="35"/>
      <c r="J29" s="27"/>
      <c r="K29" s="27"/>
      <c r="L29" s="27"/>
      <c r="M29" s="27"/>
      <c r="N29" s="27"/>
      <c r="O29" s="27"/>
      <c r="P29" s="27"/>
      <c r="Q29" s="27"/>
      <c r="R29" s="27"/>
      <c r="S29" s="27"/>
      <c r="T29" s="27"/>
      <c r="U29" s="27"/>
      <c r="V29" s="27"/>
      <c r="W29" s="27"/>
      <c r="X29" s="27"/>
      <c r="Y29" s="27"/>
      <c r="Z29" s="27"/>
    </row>
    <row r="30" ht="13.5" customHeight="1">
      <c r="A30" s="27"/>
      <c r="B30" s="28">
        <v>25.0</v>
      </c>
      <c r="C30" s="36"/>
      <c r="D30" s="30"/>
      <c r="E30" s="37"/>
      <c r="F30" s="32"/>
      <c r="G30" s="33"/>
      <c r="H30" s="34"/>
      <c r="I30" s="35"/>
      <c r="J30" s="27"/>
      <c r="K30" s="27"/>
      <c r="L30" s="27"/>
      <c r="M30" s="27"/>
      <c r="N30" s="27"/>
      <c r="O30" s="27"/>
      <c r="P30" s="27"/>
      <c r="Q30" s="27"/>
      <c r="R30" s="27"/>
      <c r="S30" s="27"/>
      <c r="T30" s="27"/>
      <c r="U30" s="27"/>
      <c r="V30" s="27"/>
      <c r="W30" s="27"/>
      <c r="X30" s="27"/>
      <c r="Y30" s="27"/>
      <c r="Z30" s="27"/>
    </row>
    <row r="31" ht="13.5" customHeight="1">
      <c r="A31" s="27"/>
      <c r="B31" s="28"/>
      <c r="C31" s="36"/>
      <c r="D31" s="30"/>
      <c r="E31" s="37"/>
      <c r="F31" s="32"/>
      <c r="G31" s="33"/>
      <c r="H31" s="34"/>
      <c r="I31" s="35"/>
      <c r="J31" s="27"/>
      <c r="K31" s="27"/>
      <c r="L31" s="27"/>
      <c r="M31" s="27"/>
      <c r="N31" s="27"/>
      <c r="O31" s="27"/>
      <c r="P31" s="27"/>
      <c r="Q31" s="27"/>
      <c r="R31" s="27"/>
      <c r="S31" s="27"/>
      <c r="T31" s="27"/>
      <c r="U31" s="27"/>
      <c r="V31" s="27"/>
      <c r="W31" s="27"/>
      <c r="X31" s="27"/>
      <c r="Y31" s="27"/>
      <c r="Z31" s="27"/>
    </row>
    <row r="32" ht="13.5" customHeight="1">
      <c r="A32" s="27"/>
      <c r="B32" s="28"/>
      <c r="C32" s="36"/>
      <c r="D32" s="30"/>
      <c r="E32" s="37"/>
      <c r="F32" s="32"/>
      <c r="G32" s="33"/>
      <c r="H32" s="34"/>
      <c r="I32" s="35"/>
      <c r="J32" s="27"/>
      <c r="K32" s="27"/>
      <c r="L32" s="27"/>
      <c r="M32" s="27"/>
      <c r="N32" s="27"/>
      <c r="O32" s="27"/>
      <c r="P32" s="27"/>
      <c r="Q32" s="27"/>
      <c r="R32" s="27"/>
      <c r="S32" s="27"/>
      <c r="T32" s="27"/>
      <c r="U32" s="27"/>
      <c r="V32" s="27"/>
      <c r="W32" s="27"/>
      <c r="X32" s="27"/>
      <c r="Y32" s="27"/>
      <c r="Z32" s="27"/>
    </row>
    <row r="33" ht="13.5" customHeight="1">
      <c r="A33" s="27"/>
      <c r="B33" s="28"/>
      <c r="C33" s="36"/>
      <c r="D33" s="30"/>
      <c r="E33" s="37"/>
      <c r="F33" s="32"/>
      <c r="G33" s="33"/>
      <c r="H33" s="34"/>
      <c r="I33" s="35"/>
      <c r="J33" s="27"/>
      <c r="K33" s="27"/>
      <c r="L33" s="27"/>
      <c r="M33" s="27"/>
      <c r="N33" s="27"/>
      <c r="O33" s="27"/>
      <c r="P33" s="27"/>
      <c r="Q33" s="27"/>
      <c r="R33" s="27"/>
      <c r="S33" s="27"/>
      <c r="T33" s="27"/>
      <c r="U33" s="27"/>
      <c r="V33" s="27"/>
      <c r="W33" s="27"/>
      <c r="X33" s="27"/>
      <c r="Y33" s="27"/>
      <c r="Z33" s="27"/>
    </row>
    <row r="34" ht="13.5" customHeight="1">
      <c r="A34" s="27"/>
      <c r="B34" s="28"/>
      <c r="C34" s="36"/>
      <c r="D34" s="30"/>
      <c r="E34" s="37"/>
      <c r="F34" s="32"/>
      <c r="G34" s="33"/>
      <c r="H34" s="34"/>
      <c r="I34" s="35"/>
      <c r="J34" s="27"/>
      <c r="K34" s="27"/>
      <c r="L34" s="27"/>
      <c r="M34" s="27"/>
      <c r="N34" s="27"/>
      <c r="O34" s="27"/>
      <c r="P34" s="27"/>
      <c r="Q34" s="27"/>
      <c r="R34" s="27"/>
      <c r="S34" s="27"/>
      <c r="T34" s="27"/>
      <c r="U34" s="27"/>
      <c r="V34" s="27"/>
      <c r="W34" s="27"/>
      <c r="X34" s="27"/>
      <c r="Y34" s="27"/>
      <c r="Z34" s="27"/>
    </row>
    <row r="35" ht="16.5" customHeight="1">
      <c r="A35" s="12"/>
      <c r="B35" s="42"/>
      <c r="C35" s="5"/>
      <c r="D35" s="42"/>
      <c r="E35" s="5"/>
      <c r="F35" s="43"/>
      <c r="G35" s="33"/>
      <c r="H35" s="34"/>
      <c r="I35" s="21"/>
      <c r="J35" s="12"/>
      <c r="K35" s="12"/>
      <c r="L35" s="12"/>
      <c r="M35" s="12"/>
      <c r="N35" s="12"/>
      <c r="O35" s="12"/>
      <c r="P35" s="12"/>
      <c r="Q35" s="12"/>
      <c r="R35" s="12"/>
      <c r="S35" s="12"/>
      <c r="T35" s="12"/>
      <c r="U35" s="12"/>
      <c r="V35" s="12"/>
      <c r="W35" s="12"/>
      <c r="X35" s="12"/>
      <c r="Y35" s="12"/>
      <c r="Z35" s="12"/>
    </row>
    <row r="36" ht="13.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3.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3.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3.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3.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3.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3.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3.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3.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3.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3.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3.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3.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3.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3.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3.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3.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3.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3.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3.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3.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3.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3.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3.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3.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3.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3.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3.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3.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3.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3.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3.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3.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3.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3.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3.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3.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3.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3.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3.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3.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3.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3.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3.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3.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3.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3.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3.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3.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3.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3.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3.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3.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3.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3.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3.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3.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3.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3.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3.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3.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3.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3.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3.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3.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3.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3.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3.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3.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3.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3.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3.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3.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3.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3.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3.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3.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3.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3.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3.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3.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3.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3.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3.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3.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3.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3.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3.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3.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3.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3.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3.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3.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3.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3.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3.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3.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3.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3.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3.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3.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3.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3.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3.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3.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3.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3.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3.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3.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3.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3.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3.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3.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3.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3.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3.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3.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3.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3.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3.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3.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3.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3.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3.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3.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3.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3.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3.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3.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3.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3.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3.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3.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3.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3.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3.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3.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3.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3.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3.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3.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3.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3.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3.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3.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3.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3.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3.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3.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3.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3.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3.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3.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3.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3.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3.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3.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3.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3.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3.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3.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3.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3.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3.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3.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3.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3.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3.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3.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3.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3.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3.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3.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3.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3.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3.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3.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3.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3.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3.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3.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3.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3.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3.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3.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3.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3.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3.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3.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3.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3.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3.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3.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3.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3.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3.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3.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3.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3.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3.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3.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3.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3.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3.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3.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3.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3.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3.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3.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3.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3.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3.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3.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3.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3.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3.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3.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3.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3.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3.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3.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3.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3.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3.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3.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3.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3.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3.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3.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3.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3.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3.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3.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3.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3.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3.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3.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3.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3.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3.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3.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3.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3.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3.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3.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3.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3.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3.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3.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3.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3.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3.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3.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3.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3.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3.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3.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3.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3.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3.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3.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3.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3.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3.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3.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3.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3.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3.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3.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3.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3.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3.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3.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3.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3.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3.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3.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3.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3.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3.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3.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3.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3.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3.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3.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3.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3.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3.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3.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3.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3.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3.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3.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3.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3.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3.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3.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3.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3.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3.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3.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3.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3.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3.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3.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3.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3.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3.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3.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3.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3.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3.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3.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3.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3.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3.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3.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3.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3.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3.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3.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3.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3.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3.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3.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3.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3.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3.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3.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3.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3.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3.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3.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3.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3.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3.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3.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3.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3.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3.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3.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3.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3.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3.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3.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3.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3.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3.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3.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3.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3.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3.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3.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3.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3.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3.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3.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3.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3.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3.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3.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3.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3.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3.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3.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3.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3.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3.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3.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3.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3.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3.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3.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3.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3.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3.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3.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3.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3.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3.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3.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3.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3.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3.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3.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3.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3.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3.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3.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3.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3.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3.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3.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3.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3.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3.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3.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3.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3.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3.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3.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3.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3.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3.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3.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3.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3.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3.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3.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3.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3.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3.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3.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3.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3.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3.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3.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3.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3.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3.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3.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3.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3.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3.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3.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3.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3.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3.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3.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3.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3.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3.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3.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3.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3.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3.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3.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3.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3.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3.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3.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3.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3.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3.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3.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3.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3.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3.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3.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3.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3.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3.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3.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3.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3.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3.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3.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3.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3.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3.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3.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3.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3.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3.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3.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3.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3.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3.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3.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3.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3.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3.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3.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3.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3.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3.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3.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3.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3.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3.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3.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3.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3.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3.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3.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3.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3.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3.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3.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3.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3.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3.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3.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3.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3.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3.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3.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3.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3.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3.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3.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3.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3.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3.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3.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3.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3.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3.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3.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3.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3.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3.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3.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3.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3.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3.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3.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3.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3.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3.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3.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3.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3.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3.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3.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3.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3.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3.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3.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3.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3.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3.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3.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3.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3.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3.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3.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3.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3.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3.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3.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3.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3.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3.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3.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3.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3.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3.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3.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3.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3.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3.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3.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3.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3.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3.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3.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3.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3.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3.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3.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3.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3.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3.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3.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3.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3.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3.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3.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3.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3.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3.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3.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3.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3.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3.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3.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3.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3.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3.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3.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3.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3.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3.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3.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3.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3.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3.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3.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3.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3.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3.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3.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3.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3.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3.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3.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3.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3.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3.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3.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3.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3.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3.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3.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3.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3.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3.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3.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3.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3.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3.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3.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3.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3.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3.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3.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3.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3.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3.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3.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3.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3.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3.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3.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3.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3.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3.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3.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3.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3.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3.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3.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3.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3.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3.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3.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3.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3.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3.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3.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3.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3.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3.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3.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3.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3.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3.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3.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3.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3.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3.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3.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3.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3.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3.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3.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3.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3.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3.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3.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3.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3.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3.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3.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3.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3.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3.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3.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3.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3.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3.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3.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3.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3.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3.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3.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3.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3.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3.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3.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3.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3.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3.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3.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3.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3.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3.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3.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3.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3.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3.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3.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3.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3.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3.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3.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3.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3.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3.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3.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3.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3.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3.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3.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3.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3.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3.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3.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3.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3.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3.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3.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3.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3.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3.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3.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3.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3.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3.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3.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3.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3.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3.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3.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3.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3.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3.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3.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3.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3.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3.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3.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3.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3.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3.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3.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3.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3.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3.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3.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3.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3.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3.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3.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3.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3.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3.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3.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3.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3.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3.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3.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3.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3.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3.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3.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3.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3.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3.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3.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3.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3.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3.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3.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3.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3.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3.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3.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3.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3.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3.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3.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3.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3.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3.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3.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3.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3.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3.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3.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3.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3.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3.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3.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3.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3.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3.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3.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3.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3.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3.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3.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3.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3.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3.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3.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3.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3.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3.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3.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3.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3.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3.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3.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3.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3.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3.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3.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3.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3.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3.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3.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3.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3.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3.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3.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3.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3.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3.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3.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3.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3.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3.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3.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3.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3.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3.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3.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3.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3.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3.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3.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3.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3.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3.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3.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3.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3.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3.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3.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3.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3.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3.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3.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3.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3.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3.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3.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3.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3.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3.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3.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3.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3.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3.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3.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3.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3.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3.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3.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3.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3.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3.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3.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3.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3.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3.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3.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3.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3.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3.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3.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3.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3.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3.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3.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3.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3.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3.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3.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3.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3.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3.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3.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3.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3.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3.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3.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3.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3.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3.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3.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3.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3.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3.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3.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3.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3.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3.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3.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3.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3.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3.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3.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3.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3.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3.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3.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3.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3.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3.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3.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3.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3.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3.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3.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3.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3.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3.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3.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3.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3.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3.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3.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3.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3.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3.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3.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3.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3.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3.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3.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3.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3.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3.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3.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3.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3.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3.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3.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3.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3.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3.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3.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3.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3.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3.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3.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3.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3.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3.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3.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3.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3.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3.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3.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3.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3.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3.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3.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3.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3.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3.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3.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8">
    <mergeCell ref="B2:F2"/>
    <mergeCell ref="B4:C5"/>
    <mergeCell ref="D4:D5"/>
    <mergeCell ref="E4:E5"/>
    <mergeCell ref="F4:F5"/>
    <mergeCell ref="G4:H4"/>
    <mergeCell ref="B35:C35"/>
    <mergeCell ref="D35:E35"/>
  </mergeCells>
  <dataValidations>
    <dataValidation type="list" allowBlank="1" showErrorMessage="1" sqref="E6:E34">
      <formula1>List_1</formula1>
    </dataValidation>
    <dataValidation type="list" allowBlank="1" showErrorMessage="1" sqref="D6:D34">
      <formula1>List_2</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sheetViews>
  <sheetFormatPr customHeight="1" defaultColWidth="14.43" defaultRowHeight="15.0"/>
  <cols>
    <col customWidth="1" min="1" max="1" width="2.86"/>
    <col customWidth="1" min="2" max="2" width="7.43"/>
    <col customWidth="1" min="3" max="3" width="60.71"/>
    <col customWidth="1" min="4" max="4" width="18.86"/>
    <col customWidth="1" min="5" max="5" width="19.86"/>
    <col customWidth="1" min="6" max="6" width="41.43"/>
    <col customWidth="1" min="7" max="8" width="24.71"/>
    <col customWidth="1" min="9" max="26" width="9.14"/>
  </cols>
  <sheetData>
    <row r="1" ht="15.0"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ht="33.75" customHeight="1">
      <c r="A2" s="12"/>
      <c r="B2" s="13" t="s">
        <v>156</v>
      </c>
      <c r="C2" s="14"/>
      <c r="D2" s="14"/>
      <c r="E2" s="14"/>
      <c r="F2" s="5"/>
      <c r="G2" s="12"/>
      <c r="H2" s="12"/>
      <c r="I2" s="12"/>
      <c r="J2" s="12"/>
      <c r="K2" s="12"/>
      <c r="L2" s="12"/>
      <c r="M2" s="12"/>
      <c r="N2" s="12"/>
      <c r="O2" s="12"/>
      <c r="P2" s="12"/>
      <c r="Q2" s="12"/>
      <c r="R2" s="12"/>
      <c r="S2" s="12"/>
      <c r="T2" s="12"/>
      <c r="U2" s="12"/>
      <c r="V2" s="12"/>
      <c r="W2" s="12"/>
      <c r="X2" s="12"/>
      <c r="Y2" s="12"/>
      <c r="Z2" s="12"/>
    </row>
    <row r="3" ht="13.5" customHeight="1">
      <c r="A3" s="12"/>
      <c r="B3" s="12"/>
      <c r="C3" s="12"/>
      <c r="D3" s="12"/>
      <c r="E3" s="12"/>
      <c r="F3" s="12"/>
      <c r="G3" s="12"/>
      <c r="H3" s="12"/>
      <c r="I3" s="12"/>
      <c r="J3" s="12"/>
      <c r="K3" s="12"/>
      <c r="L3" s="12"/>
      <c r="M3" s="12"/>
      <c r="N3" s="12"/>
      <c r="O3" s="12"/>
      <c r="P3" s="12"/>
      <c r="Q3" s="12"/>
      <c r="R3" s="12"/>
      <c r="S3" s="12"/>
      <c r="T3" s="12"/>
      <c r="U3" s="12"/>
      <c r="V3" s="12"/>
      <c r="W3" s="12"/>
      <c r="X3" s="12"/>
      <c r="Y3" s="12"/>
      <c r="Z3" s="12"/>
    </row>
    <row r="4" ht="25.5" customHeight="1">
      <c r="A4" s="12"/>
      <c r="B4" s="16" t="s">
        <v>156</v>
      </c>
      <c r="C4" s="17"/>
      <c r="D4" s="18" t="s">
        <v>157</v>
      </c>
      <c r="E4" s="18" t="s">
        <v>158</v>
      </c>
      <c r="F4" s="18" t="s">
        <v>79</v>
      </c>
      <c r="G4" s="19"/>
      <c r="H4" s="20"/>
      <c r="I4" s="21"/>
      <c r="J4" s="12"/>
      <c r="K4" s="12"/>
      <c r="L4" s="12"/>
      <c r="M4" s="12"/>
      <c r="N4" s="12"/>
      <c r="O4" s="12"/>
      <c r="P4" s="12"/>
      <c r="Q4" s="12"/>
      <c r="R4" s="12"/>
      <c r="S4" s="12"/>
      <c r="T4" s="12"/>
      <c r="U4" s="12"/>
      <c r="V4" s="12"/>
      <c r="W4" s="12"/>
      <c r="X4" s="12"/>
      <c r="Y4" s="12"/>
      <c r="Z4" s="12"/>
    </row>
    <row r="5" ht="63.0" customHeight="1">
      <c r="A5" s="12"/>
      <c r="B5" s="22"/>
      <c r="C5" s="23"/>
      <c r="D5" s="24"/>
      <c r="E5" s="24"/>
      <c r="F5" s="24"/>
      <c r="G5" s="25"/>
      <c r="H5" s="26"/>
      <c r="I5" s="21"/>
      <c r="J5" s="12"/>
      <c r="K5" s="12"/>
      <c r="L5" s="12"/>
      <c r="M5" s="12"/>
      <c r="N5" s="12"/>
      <c r="O5" s="12"/>
      <c r="P5" s="12"/>
      <c r="Q5" s="12"/>
      <c r="R5" s="12"/>
      <c r="S5" s="12"/>
      <c r="T5" s="12"/>
      <c r="U5" s="12"/>
      <c r="V5" s="12"/>
      <c r="W5" s="12"/>
      <c r="X5" s="12"/>
      <c r="Y5" s="12"/>
      <c r="Z5" s="12"/>
    </row>
    <row r="6" ht="13.5" customHeight="1">
      <c r="A6" s="27"/>
      <c r="B6" s="28">
        <v>1.0</v>
      </c>
      <c r="C6" s="36" t="s">
        <v>159</v>
      </c>
      <c r="D6" s="30"/>
      <c r="E6" s="37"/>
      <c r="F6" s="32"/>
      <c r="G6" s="33"/>
      <c r="H6" s="34"/>
      <c r="I6" s="35"/>
      <c r="J6" s="27"/>
      <c r="K6" s="27"/>
      <c r="L6" s="27"/>
      <c r="M6" s="27"/>
      <c r="N6" s="27"/>
      <c r="O6" s="27"/>
      <c r="P6" s="27"/>
      <c r="Q6" s="27"/>
      <c r="R6" s="27"/>
      <c r="S6" s="27"/>
      <c r="T6" s="27"/>
      <c r="U6" s="27"/>
      <c r="V6" s="27"/>
      <c r="W6" s="27"/>
      <c r="X6" s="27"/>
      <c r="Y6" s="27"/>
      <c r="Z6" s="27"/>
    </row>
    <row r="7" ht="13.5" customHeight="1">
      <c r="A7" s="27"/>
      <c r="B7" s="28">
        <v>2.0</v>
      </c>
      <c r="C7" s="36" t="s">
        <v>160</v>
      </c>
      <c r="D7" s="30"/>
      <c r="E7" s="37"/>
      <c r="F7" s="32"/>
      <c r="G7" s="33"/>
      <c r="H7" s="34"/>
      <c r="I7" s="35"/>
      <c r="J7" s="27"/>
      <c r="K7" s="27"/>
      <c r="L7" s="27"/>
      <c r="M7" s="27"/>
      <c r="N7" s="27"/>
      <c r="O7" s="27"/>
      <c r="P7" s="27"/>
      <c r="Q7" s="27"/>
      <c r="R7" s="27"/>
      <c r="S7" s="27"/>
      <c r="T7" s="27"/>
      <c r="U7" s="27"/>
      <c r="V7" s="27"/>
      <c r="W7" s="27"/>
      <c r="X7" s="27"/>
      <c r="Y7" s="27"/>
      <c r="Z7" s="27"/>
    </row>
    <row r="8" ht="13.5" customHeight="1">
      <c r="A8" s="27"/>
      <c r="B8" s="28">
        <v>3.0</v>
      </c>
      <c r="C8" s="36" t="s">
        <v>161</v>
      </c>
      <c r="D8" s="30"/>
      <c r="E8" s="37"/>
      <c r="F8" s="39" t="s">
        <v>162</v>
      </c>
      <c r="G8" s="33"/>
      <c r="H8" s="34"/>
      <c r="I8" s="35"/>
      <c r="J8" s="27"/>
      <c r="K8" s="27"/>
      <c r="L8" s="27"/>
      <c r="M8" s="27"/>
      <c r="N8" s="27"/>
      <c r="O8" s="27"/>
      <c r="P8" s="27"/>
      <c r="Q8" s="27"/>
      <c r="R8" s="27"/>
      <c r="S8" s="27"/>
      <c r="T8" s="27"/>
      <c r="U8" s="27"/>
      <c r="V8" s="27"/>
      <c r="W8" s="27"/>
      <c r="X8" s="27"/>
      <c r="Y8" s="27"/>
      <c r="Z8" s="27"/>
    </row>
    <row r="9" ht="13.5" customHeight="1">
      <c r="A9" s="27"/>
      <c r="B9" s="28">
        <v>4.0</v>
      </c>
      <c r="C9" s="36" t="s">
        <v>163</v>
      </c>
      <c r="D9" s="30"/>
      <c r="E9" s="37"/>
      <c r="F9" s="32"/>
      <c r="G9" s="33"/>
      <c r="H9" s="34"/>
      <c r="I9" s="35"/>
      <c r="J9" s="27"/>
      <c r="K9" s="27"/>
      <c r="L9" s="27"/>
      <c r="M9" s="27"/>
      <c r="N9" s="27"/>
      <c r="O9" s="27"/>
      <c r="P9" s="27"/>
      <c r="Q9" s="27"/>
      <c r="R9" s="27"/>
      <c r="S9" s="27"/>
      <c r="T9" s="27"/>
      <c r="U9" s="27"/>
      <c r="V9" s="27"/>
      <c r="W9" s="27"/>
      <c r="X9" s="27"/>
      <c r="Y9" s="27"/>
      <c r="Z9" s="27"/>
    </row>
    <row r="10" ht="13.5" customHeight="1">
      <c r="A10" s="27"/>
      <c r="B10" s="28">
        <v>5.0</v>
      </c>
      <c r="C10" s="36" t="s">
        <v>164</v>
      </c>
      <c r="D10" s="30"/>
      <c r="E10" s="37"/>
      <c r="F10" s="32"/>
      <c r="G10" s="33"/>
      <c r="H10" s="34"/>
      <c r="I10" s="35"/>
      <c r="J10" s="27"/>
      <c r="K10" s="27"/>
      <c r="L10" s="27"/>
      <c r="M10" s="27"/>
      <c r="N10" s="27"/>
      <c r="O10" s="27"/>
      <c r="P10" s="27"/>
      <c r="Q10" s="27"/>
      <c r="R10" s="27"/>
      <c r="S10" s="27"/>
      <c r="T10" s="27"/>
      <c r="U10" s="27"/>
      <c r="V10" s="27"/>
      <c r="W10" s="27"/>
      <c r="X10" s="27"/>
      <c r="Y10" s="27"/>
      <c r="Z10" s="27"/>
    </row>
    <row r="11" ht="13.5" customHeight="1">
      <c r="A11" s="27"/>
      <c r="B11" s="28">
        <v>6.0</v>
      </c>
      <c r="C11" s="36" t="s">
        <v>165</v>
      </c>
      <c r="D11" s="30"/>
      <c r="E11" s="37"/>
      <c r="F11" s="32"/>
      <c r="G11" s="33"/>
      <c r="H11" s="34"/>
      <c r="I11" s="35"/>
      <c r="J11" s="27"/>
      <c r="K11" s="27"/>
      <c r="L11" s="27"/>
      <c r="M11" s="27"/>
      <c r="N11" s="27"/>
      <c r="O11" s="27"/>
      <c r="P11" s="27"/>
      <c r="Q11" s="27"/>
      <c r="R11" s="27"/>
      <c r="S11" s="27"/>
      <c r="T11" s="27"/>
      <c r="U11" s="27"/>
      <c r="V11" s="27"/>
      <c r="W11" s="27"/>
      <c r="X11" s="27"/>
      <c r="Y11" s="27"/>
      <c r="Z11" s="27"/>
    </row>
    <row r="12" ht="13.5" customHeight="1">
      <c r="A12" s="27"/>
      <c r="B12" s="28">
        <v>7.0</v>
      </c>
      <c r="C12" s="36" t="s">
        <v>166</v>
      </c>
      <c r="D12" s="30"/>
      <c r="E12" s="37"/>
      <c r="F12" s="32"/>
      <c r="G12" s="33"/>
      <c r="H12" s="34"/>
      <c r="I12" s="35"/>
      <c r="J12" s="27"/>
      <c r="K12" s="27"/>
      <c r="L12" s="27"/>
      <c r="M12" s="27"/>
      <c r="N12" s="27"/>
      <c r="O12" s="27"/>
      <c r="P12" s="27"/>
      <c r="Q12" s="27"/>
      <c r="R12" s="27"/>
      <c r="S12" s="27"/>
      <c r="T12" s="27"/>
      <c r="U12" s="27"/>
      <c r="V12" s="27"/>
      <c r="W12" s="27"/>
      <c r="X12" s="27"/>
      <c r="Y12" s="27"/>
      <c r="Z12" s="27"/>
    </row>
    <row r="13" ht="13.5" customHeight="1">
      <c r="A13" s="27"/>
      <c r="B13" s="28">
        <v>8.0</v>
      </c>
      <c r="C13" s="36" t="s">
        <v>167</v>
      </c>
      <c r="D13" s="30"/>
      <c r="E13" s="37"/>
      <c r="F13" s="32"/>
      <c r="G13" s="33"/>
      <c r="H13" s="34"/>
      <c r="I13" s="35"/>
      <c r="J13" s="27"/>
      <c r="K13" s="27"/>
      <c r="L13" s="27"/>
      <c r="M13" s="27"/>
      <c r="N13" s="27"/>
      <c r="O13" s="27"/>
      <c r="P13" s="27"/>
      <c r="Q13" s="27"/>
      <c r="R13" s="27"/>
      <c r="S13" s="27"/>
      <c r="T13" s="27"/>
      <c r="U13" s="27"/>
      <c r="V13" s="27"/>
      <c r="W13" s="27"/>
      <c r="X13" s="27"/>
      <c r="Y13" s="27"/>
      <c r="Z13" s="27"/>
    </row>
    <row r="14" ht="13.5" customHeight="1">
      <c r="A14" s="27"/>
      <c r="B14" s="28">
        <v>9.0</v>
      </c>
      <c r="C14" s="36" t="s">
        <v>168</v>
      </c>
      <c r="D14" s="30"/>
      <c r="E14" s="37"/>
      <c r="F14" s="32"/>
      <c r="G14" s="33"/>
      <c r="H14" s="34"/>
      <c r="I14" s="35"/>
      <c r="J14" s="27"/>
      <c r="K14" s="27"/>
      <c r="L14" s="27"/>
      <c r="M14" s="27"/>
      <c r="N14" s="27"/>
      <c r="O14" s="27"/>
      <c r="P14" s="27"/>
      <c r="Q14" s="27"/>
      <c r="R14" s="27"/>
      <c r="S14" s="27"/>
      <c r="T14" s="27"/>
      <c r="U14" s="27"/>
      <c r="V14" s="27"/>
      <c r="W14" s="27"/>
      <c r="X14" s="27"/>
      <c r="Y14" s="27"/>
      <c r="Z14" s="27"/>
    </row>
    <row r="15" ht="13.5" customHeight="1">
      <c r="A15" s="27"/>
      <c r="B15" s="28">
        <v>10.0</v>
      </c>
      <c r="C15" s="36" t="s">
        <v>169</v>
      </c>
      <c r="D15" s="30"/>
      <c r="E15" s="37"/>
      <c r="F15" s="32"/>
      <c r="G15" s="33"/>
      <c r="H15" s="34"/>
      <c r="I15" s="35"/>
      <c r="J15" s="27"/>
      <c r="K15" s="27"/>
      <c r="L15" s="27"/>
      <c r="M15" s="27"/>
      <c r="N15" s="27"/>
      <c r="O15" s="27"/>
      <c r="P15" s="27"/>
      <c r="Q15" s="27"/>
      <c r="R15" s="27"/>
      <c r="S15" s="27"/>
      <c r="T15" s="27"/>
      <c r="U15" s="27"/>
      <c r="V15" s="27"/>
      <c r="W15" s="27"/>
      <c r="X15" s="27"/>
      <c r="Y15" s="27"/>
      <c r="Z15" s="27"/>
    </row>
    <row r="16" ht="13.5" customHeight="1">
      <c r="A16" s="27"/>
      <c r="B16" s="28">
        <v>11.0</v>
      </c>
      <c r="C16" s="36" t="s">
        <v>170</v>
      </c>
      <c r="D16" s="30"/>
      <c r="E16" s="37"/>
      <c r="F16" s="32"/>
      <c r="G16" s="33"/>
      <c r="H16" s="34"/>
      <c r="I16" s="35"/>
      <c r="J16" s="27"/>
      <c r="K16" s="27"/>
      <c r="L16" s="27"/>
      <c r="M16" s="27"/>
      <c r="N16" s="27"/>
      <c r="O16" s="27"/>
      <c r="P16" s="27"/>
      <c r="Q16" s="27"/>
      <c r="R16" s="27"/>
      <c r="S16" s="27"/>
      <c r="T16" s="27"/>
      <c r="U16" s="27"/>
      <c r="V16" s="27"/>
      <c r="W16" s="27"/>
      <c r="X16" s="27"/>
      <c r="Y16" s="27"/>
      <c r="Z16" s="27"/>
    </row>
    <row r="17" ht="13.5" customHeight="1">
      <c r="A17" s="27"/>
      <c r="B17" s="28">
        <v>12.0</v>
      </c>
      <c r="C17" s="36" t="s">
        <v>171</v>
      </c>
      <c r="D17" s="30"/>
      <c r="E17" s="37"/>
      <c r="F17" s="32"/>
      <c r="G17" s="33"/>
      <c r="H17" s="34"/>
      <c r="I17" s="35"/>
      <c r="J17" s="27"/>
      <c r="K17" s="27"/>
      <c r="L17" s="27"/>
      <c r="M17" s="27"/>
      <c r="N17" s="27"/>
      <c r="O17" s="27"/>
      <c r="P17" s="27"/>
      <c r="Q17" s="27"/>
      <c r="R17" s="27"/>
      <c r="S17" s="27"/>
      <c r="T17" s="27"/>
      <c r="U17" s="27"/>
      <c r="V17" s="27"/>
      <c r="W17" s="27"/>
      <c r="X17" s="27"/>
      <c r="Y17" s="27"/>
      <c r="Z17" s="27"/>
    </row>
    <row r="18" ht="13.5" customHeight="1">
      <c r="A18" s="27"/>
      <c r="B18" s="28">
        <v>13.0</v>
      </c>
      <c r="C18" s="36" t="s">
        <v>172</v>
      </c>
      <c r="D18" s="30"/>
      <c r="E18" s="37"/>
      <c r="F18" s="32"/>
      <c r="G18" s="33"/>
      <c r="H18" s="34"/>
      <c r="I18" s="35"/>
      <c r="J18" s="27"/>
      <c r="K18" s="27"/>
      <c r="L18" s="27"/>
      <c r="M18" s="27"/>
      <c r="N18" s="27"/>
      <c r="O18" s="27"/>
      <c r="P18" s="27"/>
      <c r="Q18" s="27"/>
      <c r="R18" s="27"/>
      <c r="S18" s="27"/>
      <c r="T18" s="27"/>
      <c r="U18" s="27"/>
      <c r="V18" s="27"/>
      <c r="W18" s="27"/>
      <c r="X18" s="27"/>
      <c r="Y18" s="27"/>
      <c r="Z18" s="27"/>
    </row>
    <row r="19" ht="13.5" customHeight="1">
      <c r="A19" s="27"/>
      <c r="B19" s="28">
        <v>14.0</v>
      </c>
      <c r="C19" s="36" t="s">
        <v>173</v>
      </c>
      <c r="D19" s="30"/>
      <c r="E19" s="37"/>
      <c r="F19" s="32"/>
      <c r="G19" s="33"/>
      <c r="H19" s="34"/>
      <c r="I19" s="35"/>
      <c r="J19" s="27"/>
      <c r="K19" s="27"/>
      <c r="L19" s="27"/>
      <c r="M19" s="27"/>
      <c r="N19" s="27"/>
      <c r="O19" s="27"/>
      <c r="P19" s="27"/>
      <c r="Q19" s="27"/>
      <c r="R19" s="27"/>
      <c r="S19" s="27"/>
      <c r="T19" s="27"/>
      <c r="U19" s="27"/>
      <c r="V19" s="27"/>
      <c r="W19" s="27"/>
      <c r="X19" s="27"/>
      <c r="Y19" s="27"/>
      <c r="Z19" s="27"/>
    </row>
    <row r="20" ht="13.5" customHeight="1">
      <c r="A20" s="27"/>
      <c r="B20" s="28">
        <v>15.0</v>
      </c>
      <c r="C20" s="36" t="s">
        <v>174</v>
      </c>
      <c r="D20" s="30"/>
      <c r="E20" s="37"/>
      <c r="F20" s="32"/>
      <c r="G20" s="33"/>
      <c r="H20" s="34"/>
      <c r="I20" s="35"/>
      <c r="J20" s="27"/>
      <c r="K20" s="27"/>
      <c r="L20" s="27"/>
      <c r="M20" s="27"/>
      <c r="N20" s="27"/>
      <c r="O20" s="27"/>
      <c r="P20" s="27"/>
      <c r="Q20" s="27"/>
      <c r="R20" s="27"/>
      <c r="S20" s="27"/>
      <c r="T20" s="27"/>
      <c r="U20" s="27"/>
      <c r="V20" s="27"/>
      <c r="W20" s="27"/>
      <c r="X20" s="27"/>
      <c r="Y20" s="27"/>
      <c r="Z20" s="27"/>
    </row>
    <row r="21" ht="13.5" customHeight="1">
      <c r="A21" s="27"/>
      <c r="B21" s="28">
        <v>16.0</v>
      </c>
      <c r="C21" s="36" t="s">
        <v>175</v>
      </c>
      <c r="D21" s="30"/>
      <c r="E21" s="37"/>
      <c r="F21" s="32"/>
      <c r="G21" s="33"/>
      <c r="H21" s="34"/>
      <c r="I21" s="35"/>
      <c r="J21" s="27"/>
      <c r="K21" s="27"/>
      <c r="L21" s="27"/>
      <c r="M21" s="27"/>
      <c r="N21" s="27"/>
      <c r="O21" s="27"/>
      <c r="P21" s="27"/>
      <c r="Q21" s="27"/>
      <c r="R21" s="27"/>
      <c r="S21" s="27"/>
      <c r="T21" s="27"/>
      <c r="U21" s="27"/>
      <c r="V21" s="27"/>
      <c r="W21" s="27"/>
      <c r="X21" s="27"/>
      <c r="Y21" s="27"/>
      <c r="Z21" s="27"/>
    </row>
    <row r="22" ht="13.5" customHeight="1">
      <c r="A22" s="27"/>
      <c r="B22" s="28">
        <v>17.0</v>
      </c>
      <c r="C22" s="36" t="s">
        <v>176</v>
      </c>
      <c r="D22" s="30"/>
      <c r="E22" s="37"/>
      <c r="F22" s="32"/>
      <c r="G22" s="33"/>
      <c r="H22" s="34"/>
      <c r="I22" s="35"/>
      <c r="J22" s="27"/>
      <c r="K22" s="27"/>
      <c r="L22" s="27"/>
      <c r="M22" s="27"/>
      <c r="N22" s="27"/>
      <c r="O22" s="27"/>
      <c r="P22" s="27"/>
      <c r="Q22" s="27"/>
      <c r="R22" s="27"/>
      <c r="S22" s="27"/>
      <c r="T22" s="27"/>
      <c r="U22" s="27"/>
      <c r="V22" s="27"/>
      <c r="W22" s="27"/>
      <c r="X22" s="27"/>
      <c r="Y22" s="27"/>
      <c r="Z22" s="27"/>
    </row>
    <row r="23" ht="13.5" customHeight="1">
      <c r="A23" s="27"/>
      <c r="B23" s="28">
        <v>18.0</v>
      </c>
      <c r="C23" s="36" t="s">
        <v>177</v>
      </c>
      <c r="D23" s="30"/>
      <c r="E23" s="37"/>
      <c r="F23" s="32"/>
      <c r="G23" s="33"/>
      <c r="H23" s="34"/>
      <c r="I23" s="35"/>
      <c r="J23" s="27"/>
      <c r="K23" s="27"/>
      <c r="L23" s="27"/>
      <c r="M23" s="27"/>
      <c r="N23" s="27"/>
      <c r="O23" s="27"/>
      <c r="P23" s="27"/>
      <c r="Q23" s="27"/>
      <c r="R23" s="27"/>
      <c r="S23" s="27"/>
      <c r="T23" s="27"/>
      <c r="U23" s="27"/>
      <c r="V23" s="27"/>
      <c r="W23" s="27"/>
      <c r="X23" s="27"/>
      <c r="Y23" s="27"/>
      <c r="Z23" s="27"/>
    </row>
    <row r="24" ht="13.5" customHeight="1">
      <c r="A24" s="27"/>
      <c r="B24" s="28">
        <v>19.0</v>
      </c>
      <c r="C24" s="36" t="s">
        <v>178</v>
      </c>
      <c r="D24" s="30"/>
      <c r="E24" s="37"/>
      <c r="F24" s="32"/>
      <c r="G24" s="33"/>
      <c r="H24" s="34"/>
      <c r="I24" s="35"/>
      <c r="J24" s="27"/>
      <c r="K24" s="27"/>
      <c r="L24" s="27"/>
      <c r="M24" s="27"/>
      <c r="N24" s="27"/>
      <c r="O24" s="27"/>
      <c r="P24" s="27"/>
      <c r="Q24" s="27"/>
      <c r="R24" s="27"/>
      <c r="S24" s="27"/>
      <c r="T24" s="27"/>
      <c r="U24" s="27"/>
      <c r="V24" s="27"/>
      <c r="W24" s="27"/>
      <c r="X24" s="27"/>
      <c r="Y24" s="27"/>
      <c r="Z24" s="27"/>
    </row>
    <row r="25" ht="13.5" customHeight="1">
      <c r="A25" s="27"/>
      <c r="B25" s="28">
        <v>20.0</v>
      </c>
      <c r="C25" s="36" t="s">
        <v>179</v>
      </c>
      <c r="D25" s="30"/>
      <c r="E25" s="37"/>
      <c r="F25" s="32"/>
      <c r="G25" s="33"/>
      <c r="H25" s="34"/>
      <c r="I25" s="35"/>
      <c r="J25" s="27"/>
      <c r="K25" s="27"/>
      <c r="L25" s="27"/>
      <c r="M25" s="27"/>
      <c r="N25" s="27"/>
      <c r="O25" s="27"/>
      <c r="P25" s="27"/>
      <c r="Q25" s="27"/>
      <c r="R25" s="27"/>
      <c r="S25" s="27"/>
      <c r="T25" s="27"/>
      <c r="U25" s="27"/>
      <c r="V25" s="27"/>
      <c r="W25" s="27"/>
      <c r="X25" s="27"/>
      <c r="Y25" s="27"/>
      <c r="Z25" s="27"/>
    </row>
    <row r="26" ht="13.5" customHeight="1">
      <c r="A26" s="27"/>
      <c r="B26" s="28">
        <v>21.0</v>
      </c>
      <c r="C26" s="36" t="s">
        <v>180</v>
      </c>
      <c r="D26" s="30"/>
      <c r="E26" s="37"/>
      <c r="F26" s="32"/>
      <c r="G26" s="33"/>
      <c r="H26" s="34"/>
      <c r="I26" s="35"/>
      <c r="J26" s="27"/>
      <c r="K26" s="27"/>
      <c r="L26" s="27"/>
      <c r="M26" s="27"/>
      <c r="N26" s="27"/>
      <c r="O26" s="27"/>
      <c r="P26" s="27"/>
      <c r="Q26" s="27"/>
      <c r="R26" s="27"/>
      <c r="S26" s="27"/>
      <c r="T26" s="27"/>
      <c r="U26" s="27"/>
      <c r="V26" s="27"/>
      <c r="W26" s="27"/>
      <c r="X26" s="27"/>
      <c r="Y26" s="27"/>
      <c r="Z26" s="27"/>
    </row>
    <row r="27" ht="13.5" customHeight="1">
      <c r="A27" s="27"/>
      <c r="B27" s="28">
        <v>22.0</v>
      </c>
      <c r="C27" s="36" t="s">
        <v>181</v>
      </c>
      <c r="D27" s="30"/>
      <c r="E27" s="37"/>
      <c r="F27" s="32"/>
      <c r="G27" s="33"/>
      <c r="H27" s="34"/>
      <c r="I27" s="35"/>
      <c r="J27" s="27"/>
      <c r="K27" s="27"/>
      <c r="L27" s="27"/>
      <c r="M27" s="27"/>
      <c r="N27" s="27"/>
      <c r="O27" s="27"/>
      <c r="P27" s="27"/>
      <c r="Q27" s="27"/>
      <c r="R27" s="27"/>
      <c r="S27" s="27"/>
      <c r="T27" s="27"/>
      <c r="U27" s="27"/>
      <c r="V27" s="27"/>
      <c r="W27" s="27"/>
      <c r="X27" s="27"/>
      <c r="Y27" s="27"/>
      <c r="Z27" s="27"/>
    </row>
    <row r="28" ht="13.5" customHeight="1">
      <c r="A28" s="27"/>
      <c r="B28" s="28">
        <v>23.0</v>
      </c>
      <c r="C28" s="36" t="s">
        <v>182</v>
      </c>
      <c r="D28" s="30" t="s">
        <v>81</v>
      </c>
      <c r="E28" s="37"/>
      <c r="F28" s="32"/>
      <c r="G28" s="33"/>
      <c r="H28" s="34"/>
      <c r="I28" s="35"/>
      <c r="J28" s="27"/>
      <c r="K28" s="27"/>
      <c r="L28" s="27"/>
      <c r="M28" s="27"/>
      <c r="N28" s="27"/>
      <c r="O28" s="27"/>
      <c r="P28" s="27"/>
      <c r="Q28" s="27"/>
      <c r="R28" s="27"/>
      <c r="S28" s="27"/>
      <c r="T28" s="27"/>
      <c r="U28" s="27"/>
      <c r="V28" s="27"/>
      <c r="W28" s="27"/>
      <c r="X28" s="27"/>
      <c r="Y28" s="27"/>
      <c r="Z28" s="27"/>
    </row>
    <row r="29" ht="13.5" customHeight="1">
      <c r="A29" s="27"/>
      <c r="B29" s="28">
        <v>24.0</v>
      </c>
      <c r="C29" s="36" t="s">
        <v>183</v>
      </c>
      <c r="D29" s="30" t="s">
        <v>81</v>
      </c>
      <c r="E29" s="37"/>
      <c r="F29" s="32"/>
      <c r="G29" s="33"/>
      <c r="H29" s="34"/>
      <c r="I29" s="35"/>
      <c r="J29" s="27"/>
      <c r="K29" s="27"/>
      <c r="L29" s="27"/>
      <c r="M29" s="27"/>
      <c r="N29" s="27"/>
      <c r="O29" s="27"/>
      <c r="P29" s="27"/>
      <c r="Q29" s="27"/>
      <c r="R29" s="27"/>
      <c r="S29" s="27"/>
      <c r="T29" s="27"/>
      <c r="U29" s="27"/>
      <c r="V29" s="27"/>
      <c r="W29" s="27"/>
      <c r="X29" s="27"/>
      <c r="Y29" s="27"/>
      <c r="Z29" s="27"/>
    </row>
    <row r="30" ht="13.5" customHeight="1">
      <c r="A30" s="27"/>
      <c r="B30" s="28">
        <v>25.0</v>
      </c>
      <c r="C30" s="36" t="s">
        <v>184</v>
      </c>
      <c r="D30" s="30"/>
      <c r="E30" s="37"/>
      <c r="F30" s="32"/>
      <c r="G30" s="33"/>
      <c r="H30" s="34"/>
      <c r="I30" s="35"/>
      <c r="J30" s="27"/>
      <c r="K30" s="27"/>
      <c r="L30" s="27"/>
      <c r="M30" s="27"/>
      <c r="N30" s="27"/>
      <c r="O30" s="27"/>
      <c r="P30" s="27"/>
      <c r="Q30" s="27"/>
      <c r="R30" s="27"/>
      <c r="S30" s="27"/>
      <c r="T30" s="27"/>
      <c r="U30" s="27"/>
      <c r="V30" s="27"/>
      <c r="W30" s="27"/>
      <c r="X30" s="27"/>
      <c r="Y30" s="27"/>
      <c r="Z30" s="27"/>
    </row>
    <row r="31" ht="13.5" customHeight="1">
      <c r="A31" s="27"/>
      <c r="B31" s="28"/>
      <c r="C31" s="36"/>
      <c r="D31" s="30"/>
      <c r="E31" s="37"/>
      <c r="F31" s="32"/>
      <c r="G31" s="33"/>
      <c r="H31" s="34"/>
      <c r="I31" s="35"/>
      <c r="J31" s="27"/>
      <c r="K31" s="27"/>
      <c r="L31" s="27"/>
      <c r="M31" s="27"/>
      <c r="N31" s="27"/>
      <c r="O31" s="27"/>
      <c r="P31" s="27"/>
      <c r="Q31" s="27"/>
      <c r="R31" s="27"/>
      <c r="S31" s="27"/>
      <c r="T31" s="27"/>
      <c r="U31" s="27"/>
      <c r="V31" s="27"/>
      <c r="W31" s="27"/>
      <c r="X31" s="27"/>
      <c r="Y31" s="27"/>
      <c r="Z31" s="27"/>
    </row>
    <row r="32" ht="13.5" customHeight="1">
      <c r="A32" s="27"/>
      <c r="B32" s="28"/>
      <c r="C32" s="36"/>
      <c r="D32" s="30"/>
      <c r="E32" s="37"/>
      <c r="F32" s="32"/>
      <c r="G32" s="33"/>
      <c r="H32" s="34"/>
      <c r="I32" s="35"/>
      <c r="J32" s="27"/>
      <c r="K32" s="27"/>
      <c r="L32" s="27"/>
      <c r="M32" s="27"/>
      <c r="N32" s="27"/>
      <c r="O32" s="27"/>
      <c r="P32" s="27"/>
      <c r="Q32" s="27"/>
      <c r="R32" s="27"/>
      <c r="S32" s="27"/>
      <c r="T32" s="27"/>
      <c r="U32" s="27"/>
      <c r="V32" s="27"/>
      <c r="W32" s="27"/>
      <c r="X32" s="27"/>
      <c r="Y32" s="27"/>
      <c r="Z32" s="27"/>
    </row>
    <row r="33" ht="13.5" customHeight="1">
      <c r="A33" s="27"/>
      <c r="B33" s="28"/>
      <c r="C33" s="36"/>
      <c r="D33" s="30"/>
      <c r="E33" s="37"/>
      <c r="F33" s="32"/>
      <c r="G33" s="33"/>
      <c r="H33" s="34"/>
      <c r="I33" s="35"/>
      <c r="J33" s="27"/>
      <c r="K33" s="27"/>
      <c r="L33" s="27"/>
      <c r="M33" s="27"/>
      <c r="N33" s="27"/>
      <c r="O33" s="27"/>
      <c r="P33" s="27"/>
      <c r="Q33" s="27"/>
      <c r="R33" s="27"/>
      <c r="S33" s="27"/>
      <c r="T33" s="27"/>
      <c r="U33" s="27"/>
      <c r="V33" s="27"/>
      <c r="W33" s="27"/>
      <c r="X33" s="27"/>
      <c r="Y33" s="27"/>
      <c r="Z33" s="27"/>
    </row>
    <row r="34" ht="13.5" customHeight="1">
      <c r="A34" s="27"/>
      <c r="B34" s="28"/>
      <c r="C34" s="36"/>
      <c r="D34" s="30"/>
      <c r="E34" s="37"/>
      <c r="F34" s="32"/>
      <c r="G34" s="33"/>
      <c r="H34" s="34"/>
      <c r="I34" s="35"/>
      <c r="J34" s="27"/>
      <c r="K34" s="27"/>
      <c r="L34" s="27"/>
      <c r="M34" s="27"/>
      <c r="N34" s="27"/>
      <c r="O34" s="27"/>
      <c r="P34" s="27"/>
      <c r="Q34" s="27"/>
      <c r="R34" s="27"/>
      <c r="S34" s="27"/>
      <c r="T34" s="27"/>
      <c r="U34" s="27"/>
      <c r="V34" s="27"/>
      <c r="W34" s="27"/>
      <c r="X34" s="27"/>
      <c r="Y34" s="27"/>
      <c r="Z34" s="27"/>
    </row>
    <row r="35" ht="16.5" customHeight="1">
      <c r="A35" s="12"/>
      <c r="B35" s="42"/>
      <c r="C35" s="5"/>
      <c r="D35" s="42"/>
      <c r="E35" s="5"/>
      <c r="F35" s="43"/>
      <c r="G35" s="33"/>
      <c r="H35" s="34"/>
      <c r="I35" s="21"/>
      <c r="J35" s="12"/>
      <c r="K35" s="12"/>
      <c r="L35" s="12"/>
      <c r="M35" s="12"/>
      <c r="N35" s="12"/>
      <c r="O35" s="12"/>
      <c r="P35" s="12"/>
      <c r="Q35" s="12"/>
      <c r="R35" s="12"/>
      <c r="S35" s="12"/>
      <c r="T35" s="12"/>
      <c r="U35" s="12"/>
      <c r="V35" s="12"/>
      <c r="W35" s="12"/>
      <c r="X35" s="12"/>
      <c r="Y35" s="12"/>
      <c r="Z35" s="12"/>
    </row>
    <row r="36" ht="13.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3.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3.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3.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3.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3.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3.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3.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3.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3.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3.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3.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3.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3.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3.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3.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3.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3.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3.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3.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3.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3.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3.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3.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3.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3.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3.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3.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3.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3.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3.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3.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3.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3.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3.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3.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3.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3.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3.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3.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3.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3.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3.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3.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3.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3.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3.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3.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3.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3.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3.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3.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3.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3.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3.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3.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3.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3.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3.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3.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3.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3.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3.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3.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3.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3.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3.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3.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3.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3.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3.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3.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3.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3.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3.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3.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3.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3.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3.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3.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3.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3.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3.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3.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3.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3.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3.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3.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3.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3.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3.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3.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3.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3.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3.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3.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3.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3.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3.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3.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3.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3.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3.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3.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3.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3.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3.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3.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3.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3.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3.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3.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3.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3.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3.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3.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3.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3.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3.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3.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3.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3.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3.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3.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3.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3.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3.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3.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3.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3.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3.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3.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3.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3.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3.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3.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3.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3.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3.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3.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3.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3.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3.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3.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3.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3.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3.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3.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3.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3.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3.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3.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3.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3.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3.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3.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3.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3.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3.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3.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3.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3.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3.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3.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3.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3.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3.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3.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3.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3.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3.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3.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3.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3.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3.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3.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3.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3.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3.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3.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3.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3.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3.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3.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3.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3.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3.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3.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3.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3.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3.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3.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3.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3.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3.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3.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3.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3.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3.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3.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3.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3.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3.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3.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3.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3.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3.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3.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3.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3.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3.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3.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3.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3.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3.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3.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3.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3.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3.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3.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3.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3.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3.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3.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3.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3.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3.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3.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3.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3.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3.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3.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3.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3.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3.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3.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3.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3.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3.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3.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3.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3.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3.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3.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3.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3.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3.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3.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3.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3.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3.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3.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3.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3.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3.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3.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3.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3.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3.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3.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3.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3.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3.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3.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3.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3.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3.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3.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3.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3.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3.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3.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3.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3.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3.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3.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3.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3.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3.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3.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3.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3.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3.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3.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3.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3.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3.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3.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3.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3.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3.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3.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3.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3.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3.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3.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3.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3.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3.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3.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3.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3.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3.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3.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3.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3.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3.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3.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3.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3.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3.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3.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3.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3.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3.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3.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3.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3.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3.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3.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3.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3.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3.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3.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3.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3.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3.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3.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3.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3.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3.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3.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3.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3.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3.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3.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3.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3.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3.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3.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3.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3.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3.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3.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3.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3.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3.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3.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3.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3.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3.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3.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3.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3.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3.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3.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3.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3.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3.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3.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3.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3.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3.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3.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3.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3.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3.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3.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3.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3.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3.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3.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3.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3.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3.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3.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3.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3.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3.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3.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3.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3.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3.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3.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3.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3.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3.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3.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3.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3.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3.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3.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3.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3.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3.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3.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3.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3.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3.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3.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3.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3.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3.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3.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3.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3.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3.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3.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3.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3.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3.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3.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3.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3.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3.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3.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3.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3.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3.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3.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3.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3.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3.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3.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3.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3.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3.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3.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3.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3.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3.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3.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3.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3.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3.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3.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3.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3.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3.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3.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3.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3.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3.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3.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3.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3.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3.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3.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3.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3.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3.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3.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3.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3.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3.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3.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3.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3.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3.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3.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3.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3.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3.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3.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3.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3.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3.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3.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3.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3.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3.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3.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3.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3.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3.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3.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3.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3.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3.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3.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3.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3.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3.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3.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3.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3.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3.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3.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3.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3.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3.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3.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3.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3.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3.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3.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3.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3.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3.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3.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3.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3.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3.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3.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3.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3.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3.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3.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3.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3.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3.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3.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3.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3.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3.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3.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3.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3.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3.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3.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3.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3.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3.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3.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3.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3.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3.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3.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3.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3.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3.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3.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3.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3.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3.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3.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3.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3.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3.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3.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3.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3.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3.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3.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3.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3.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3.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3.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3.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3.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3.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3.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3.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3.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3.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3.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3.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3.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3.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3.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3.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3.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3.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3.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3.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3.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3.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3.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3.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3.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3.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3.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3.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3.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3.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3.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3.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3.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3.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3.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3.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3.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3.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3.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3.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3.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3.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3.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3.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3.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3.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3.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3.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3.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3.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3.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3.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3.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3.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3.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3.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3.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3.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3.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3.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3.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3.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3.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3.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3.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3.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3.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3.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3.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3.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3.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3.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3.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3.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3.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3.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3.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3.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3.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3.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3.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3.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3.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3.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3.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3.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3.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3.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3.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3.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3.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3.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3.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3.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3.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3.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3.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3.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3.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3.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3.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3.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3.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3.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3.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3.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3.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3.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3.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3.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3.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3.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3.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3.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3.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3.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3.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3.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3.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3.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3.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3.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3.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3.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3.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3.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3.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3.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3.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3.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3.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3.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3.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3.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3.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3.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3.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3.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3.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3.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3.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3.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3.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3.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3.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3.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3.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3.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3.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3.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3.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3.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3.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3.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3.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3.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3.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3.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3.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3.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3.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3.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3.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3.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3.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3.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3.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3.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3.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3.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3.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3.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3.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3.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3.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3.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3.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3.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3.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3.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3.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3.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3.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3.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3.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3.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3.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3.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3.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3.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3.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3.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3.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3.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3.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3.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3.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3.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3.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3.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3.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3.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3.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3.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3.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3.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3.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3.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3.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3.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3.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3.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3.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3.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3.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3.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3.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3.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3.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3.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3.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3.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3.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3.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3.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3.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3.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3.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3.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3.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3.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3.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3.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3.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3.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3.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3.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3.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3.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3.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3.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3.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3.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3.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3.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3.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3.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3.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3.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3.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3.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3.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3.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3.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3.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3.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3.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3.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3.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3.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3.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3.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3.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3.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3.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3.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3.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3.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3.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3.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3.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3.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3.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3.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3.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3.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3.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3.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3.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3.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3.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3.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3.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3.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3.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3.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3.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3.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3.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3.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3.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3.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3.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3.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3.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3.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3.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3.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3.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3.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3.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3.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3.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3.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3.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3.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3.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3.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3.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3.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3.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3.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3.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3.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3.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3.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3.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3.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3.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3.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3.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3.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3.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3.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3.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3.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3.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3.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3.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3.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3.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3.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3.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3.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3.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3.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3.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3.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3.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3.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3.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3.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3.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3.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3.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3.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3.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3.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3.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3.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3.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3.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3.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3.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3.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3.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3.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3.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3.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3.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3.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3.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3.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3.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3.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3.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3.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3.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3.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3.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3.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3.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3.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3.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3.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3.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3.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3.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3.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3.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3.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3.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3.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3.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3.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3.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3.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3.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3.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3.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3.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3.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3.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3.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3.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3.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3.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3.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3.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3.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3.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3.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3.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3.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3.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3.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3.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3.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3.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3.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3.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3.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3.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3.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3.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3.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3.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3.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3.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3.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8">
    <mergeCell ref="B2:F2"/>
    <mergeCell ref="B4:C5"/>
    <mergeCell ref="D4:D5"/>
    <mergeCell ref="E4:E5"/>
    <mergeCell ref="F4:F5"/>
    <mergeCell ref="G4:H4"/>
    <mergeCell ref="B35:C35"/>
    <mergeCell ref="D35:E35"/>
  </mergeCells>
  <dataValidations>
    <dataValidation type="list" allowBlank="1" showErrorMessage="1" sqref="E6:E34">
      <formula1>List_1</formula1>
    </dataValidation>
    <dataValidation type="list" allowBlank="1" showErrorMessage="1" sqref="D6:D34">
      <formula1>List_2</formula1>
    </dataValidation>
  </dataValidation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sheetViews>
  <sheetFormatPr customHeight="1" defaultColWidth="14.43" defaultRowHeight="15.0"/>
  <cols>
    <col customWidth="1" min="1" max="1" width="2.86"/>
    <col customWidth="1" min="2" max="2" width="7.43"/>
    <col customWidth="1" min="3" max="3" width="60.71"/>
    <col customWidth="1" min="4" max="4" width="18.86"/>
    <col customWidth="1" min="5" max="5" width="19.86"/>
    <col customWidth="1" min="6" max="6" width="41.43"/>
    <col customWidth="1" min="7" max="8" width="24.71"/>
    <col customWidth="1" min="9" max="26" width="9.14"/>
  </cols>
  <sheetData>
    <row r="1" ht="13.5"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ht="33.75" customHeight="1">
      <c r="A2" s="12"/>
      <c r="B2" s="13" t="s">
        <v>185</v>
      </c>
      <c r="C2" s="14"/>
      <c r="D2" s="14"/>
      <c r="E2" s="14"/>
      <c r="F2" s="5"/>
      <c r="G2" s="12"/>
      <c r="H2" s="12"/>
      <c r="I2" s="12"/>
      <c r="J2" s="12"/>
      <c r="K2" s="12"/>
      <c r="L2" s="12"/>
      <c r="M2" s="12"/>
      <c r="N2" s="12"/>
      <c r="O2" s="12"/>
      <c r="P2" s="12"/>
      <c r="Q2" s="12"/>
      <c r="R2" s="12"/>
      <c r="S2" s="12"/>
      <c r="T2" s="12"/>
      <c r="U2" s="12"/>
      <c r="V2" s="12"/>
      <c r="W2" s="12"/>
      <c r="X2" s="12"/>
      <c r="Y2" s="12"/>
      <c r="Z2" s="12"/>
    </row>
    <row r="3" ht="13.5" customHeight="1">
      <c r="A3" s="12"/>
      <c r="B3" s="12"/>
      <c r="C3" s="12"/>
      <c r="D3" s="12"/>
      <c r="E3" s="12"/>
      <c r="F3" s="12"/>
      <c r="G3" s="12"/>
      <c r="H3" s="12"/>
      <c r="I3" s="12"/>
      <c r="J3" s="12"/>
      <c r="K3" s="12"/>
      <c r="L3" s="12"/>
      <c r="M3" s="12"/>
      <c r="N3" s="12"/>
      <c r="O3" s="12"/>
      <c r="P3" s="12"/>
      <c r="Q3" s="12"/>
      <c r="R3" s="12"/>
      <c r="S3" s="12"/>
      <c r="T3" s="12"/>
      <c r="U3" s="12"/>
      <c r="V3" s="12"/>
      <c r="W3" s="12"/>
      <c r="X3" s="12"/>
      <c r="Y3" s="12"/>
      <c r="Z3" s="12"/>
    </row>
    <row r="4" ht="25.5" customHeight="1">
      <c r="A4" s="12"/>
      <c r="B4" s="16" t="s">
        <v>185</v>
      </c>
      <c r="C4" s="17"/>
      <c r="D4" s="18" t="s">
        <v>186</v>
      </c>
      <c r="E4" s="18" t="s">
        <v>187</v>
      </c>
      <c r="F4" s="18" t="s">
        <v>79</v>
      </c>
      <c r="G4" s="19"/>
      <c r="H4" s="20"/>
      <c r="I4" s="21"/>
      <c r="J4" s="12"/>
      <c r="K4" s="12"/>
      <c r="L4" s="12"/>
      <c r="M4" s="12"/>
      <c r="N4" s="12"/>
      <c r="O4" s="12"/>
      <c r="P4" s="12"/>
      <c r="Q4" s="12"/>
      <c r="R4" s="12"/>
      <c r="S4" s="12"/>
      <c r="T4" s="12"/>
      <c r="U4" s="12"/>
      <c r="V4" s="12"/>
      <c r="W4" s="12"/>
      <c r="X4" s="12"/>
      <c r="Y4" s="12"/>
      <c r="Z4" s="12"/>
    </row>
    <row r="5" ht="63.0" customHeight="1">
      <c r="A5" s="12"/>
      <c r="B5" s="22"/>
      <c r="C5" s="23"/>
      <c r="D5" s="24"/>
      <c r="E5" s="24"/>
      <c r="F5" s="24"/>
      <c r="G5" s="25"/>
      <c r="H5" s="26"/>
      <c r="I5" s="21"/>
      <c r="J5" s="12"/>
      <c r="K5" s="12"/>
      <c r="L5" s="12"/>
      <c r="M5" s="12"/>
      <c r="N5" s="12"/>
      <c r="O5" s="12"/>
      <c r="P5" s="12"/>
      <c r="Q5" s="12"/>
      <c r="R5" s="12"/>
      <c r="S5" s="12"/>
      <c r="T5" s="12"/>
      <c r="U5" s="12"/>
      <c r="V5" s="12"/>
      <c r="W5" s="12"/>
      <c r="X5" s="12"/>
      <c r="Y5" s="12"/>
      <c r="Z5" s="12"/>
    </row>
    <row r="6" ht="13.5" customHeight="1">
      <c r="A6" s="27"/>
      <c r="B6" s="28">
        <v>1.0</v>
      </c>
      <c r="C6" s="29" t="s">
        <v>188</v>
      </c>
      <c r="D6" s="30" t="s">
        <v>81</v>
      </c>
      <c r="E6" s="31" t="s">
        <v>119</v>
      </c>
      <c r="F6" s="32"/>
      <c r="G6" s="33"/>
      <c r="H6" s="34"/>
      <c r="I6" s="35"/>
      <c r="J6" s="27"/>
      <c r="K6" s="27"/>
      <c r="L6" s="27"/>
      <c r="M6" s="27"/>
      <c r="N6" s="27"/>
      <c r="O6" s="27"/>
      <c r="P6" s="27"/>
      <c r="Q6" s="27"/>
      <c r="R6" s="27"/>
      <c r="S6" s="27"/>
      <c r="T6" s="27"/>
      <c r="U6" s="27"/>
      <c r="V6" s="27"/>
      <c r="W6" s="27"/>
      <c r="X6" s="27"/>
      <c r="Y6" s="27"/>
      <c r="Z6" s="27"/>
    </row>
    <row r="7" ht="13.5" customHeight="1">
      <c r="A7" s="27"/>
      <c r="B7" s="28">
        <v>2.0</v>
      </c>
      <c r="C7" s="36" t="s">
        <v>189</v>
      </c>
      <c r="D7" s="30" t="s">
        <v>81</v>
      </c>
      <c r="E7" s="31" t="s">
        <v>119</v>
      </c>
      <c r="F7" s="32"/>
      <c r="G7" s="33"/>
      <c r="H7" s="34"/>
      <c r="I7" s="35"/>
      <c r="J7" s="27"/>
      <c r="K7" s="27"/>
      <c r="L7" s="27"/>
      <c r="M7" s="27"/>
      <c r="N7" s="27"/>
      <c r="O7" s="27"/>
      <c r="P7" s="27"/>
      <c r="Q7" s="27"/>
      <c r="R7" s="27"/>
      <c r="S7" s="27"/>
      <c r="T7" s="27"/>
      <c r="U7" s="27"/>
      <c r="V7" s="27"/>
      <c r="W7" s="27"/>
      <c r="X7" s="27"/>
      <c r="Y7" s="27"/>
      <c r="Z7" s="27"/>
    </row>
    <row r="8" ht="13.5" customHeight="1">
      <c r="A8" s="27"/>
      <c r="B8" s="28">
        <v>3.0</v>
      </c>
      <c r="C8" s="36" t="s">
        <v>190</v>
      </c>
      <c r="D8" s="30" t="s">
        <v>81</v>
      </c>
      <c r="E8" s="31" t="s">
        <v>119</v>
      </c>
      <c r="F8" s="32"/>
      <c r="G8" s="33"/>
      <c r="H8" s="34"/>
      <c r="I8" s="35"/>
      <c r="J8" s="27"/>
      <c r="K8" s="27"/>
      <c r="L8" s="27"/>
      <c r="M8" s="27"/>
      <c r="N8" s="27"/>
      <c r="O8" s="27"/>
      <c r="P8" s="27"/>
      <c r="Q8" s="27"/>
      <c r="R8" s="27"/>
      <c r="S8" s="27"/>
      <c r="T8" s="27"/>
      <c r="U8" s="27"/>
      <c r="V8" s="27"/>
      <c r="W8" s="27"/>
      <c r="X8" s="27"/>
      <c r="Y8" s="27"/>
      <c r="Z8" s="27"/>
    </row>
    <row r="9" ht="13.5" customHeight="1">
      <c r="A9" s="27"/>
      <c r="B9" s="28">
        <v>4.0</v>
      </c>
      <c r="C9" s="36" t="s">
        <v>191</v>
      </c>
      <c r="D9" s="30" t="s">
        <v>81</v>
      </c>
      <c r="E9" s="31" t="s">
        <v>119</v>
      </c>
      <c r="F9" s="32"/>
      <c r="G9" s="33"/>
      <c r="H9" s="34"/>
      <c r="I9" s="35"/>
      <c r="J9" s="27"/>
      <c r="K9" s="27"/>
      <c r="L9" s="27"/>
      <c r="M9" s="27"/>
      <c r="N9" s="27"/>
      <c r="O9" s="27"/>
      <c r="P9" s="27"/>
      <c r="Q9" s="27"/>
      <c r="R9" s="27"/>
      <c r="S9" s="27"/>
      <c r="T9" s="27"/>
      <c r="U9" s="27"/>
      <c r="V9" s="27"/>
      <c r="W9" s="27"/>
      <c r="X9" s="27"/>
      <c r="Y9" s="27"/>
      <c r="Z9" s="27"/>
    </row>
    <row r="10" ht="13.5" customHeight="1">
      <c r="A10" s="27"/>
      <c r="B10" s="28">
        <v>5.0</v>
      </c>
      <c r="C10" s="36" t="s">
        <v>192</v>
      </c>
      <c r="D10" s="30" t="s">
        <v>81</v>
      </c>
      <c r="E10" s="31" t="s">
        <v>119</v>
      </c>
      <c r="F10" s="32"/>
      <c r="G10" s="33"/>
      <c r="H10" s="34"/>
      <c r="I10" s="35"/>
      <c r="J10" s="27"/>
      <c r="K10" s="27"/>
      <c r="L10" s="27"/>
      <c r="M10" s="27"/>
      <c r="N10" s="27"/>
      <c r="O10" s="27"/>
      <c r="P10" s="27"/>
      <c r="Q10" s="27"/>
      <c r="R10" s="27"/>
      <c r="S10" s="27"/>
      <c r="T10" s="27"/>
      <c r="U10" s="27"/>
      <c r="V10" s="27"/>
      <c r="W10" s="27"/>
      <c r="X10" s="27"/>
      <c r="Y10" s="27"/>
      <c r="Z10" s="27"/>
    </row>
    <row r="11" ht="13.5" customHeight="1">
      <c r="A11" s="27"/>
      <c r="B11" s="28">
        <v>6.0</v>
      </c>
      <c r="C11" s="36" t="s">
        <v>193</v>
      </c>
      <c r="D11" s="30" t="s">
        <v>116</v>
      </c>
      <c r="E11" s="31" t="s">
        <v>82</v>
      </c>
      <c r="F11" s="32"/>
      <c r="G11" s="33"/>
      <c r="H11" s="34"/>
      <c r="I11" s="35"/>
      <c r="J11" s="27"/>
      <c r="K11" s="27"/>
      <c r="L11" s="27"/>
      <c r="M11" s="27"/>
      <c r="N11" s="27"/>
      <c r="O11" s="27"/>
      <c r="P11" s="27"/>
      <c r="Q11" s="27"/>
      <c r="R11" s="27"/>
      <c r="S11" s="27"/>
      <c r="T11" s="27"/>
      <c r="U11" s="27"/>
      <c r="V11" s="27"/>
      <c r="W11" s="27"/>
      <c r="X11" s="27"/>
      <c r="Y11" s="27"/>
      <c r="Z11" s="27"/>
    </row>
    <row r="12" ht="13.5" customHeight="1">
      <c r="A12" s="27"/>
      <c r="B12" s="28">
        <v>7.0</v>
      </c>
      <c r="C12" s="36" t="s">
        <v>194</v>
      </c>
      <c r="D12" s="30" t="s">
        <v>116</v>
      </c>
      <c r="E12" s="37"/>
      <c r="F12" s="32" t="s">
        <v>195</v>
      </c>
      <c r="G12" s="33"/>
      <c r="H12" s="34"/>
      <c r="I12" s="35"/>
      <c r="J12" s="27"/>
      <c r="K12" s="27"/>
      <c r="L12" s="27"/>
      <c r="M12" s="27"/>
      <c r="N12" s="27"/>
      <c r="O12" s="27"/>
      <c r="P12" s="27"/>
      <c r="Q12" s="27"/>
      <c r="R12" s="27"/>
      <c r="S12" s="27"/>
      <c r="T12" s="27"/>
      <c r="U12" s="27"/>
      <c r="V12" s="27"/>
      <c r="W12" s="27"/>
      <c r="X12" s="27"/>
      <c r="Y12" s="27"/>
      <c r="Z12" s="27"/>
    </row>
    <row r="13" ht="13.5" customHeight="1">
      <c r="A13" s="27"/>
      <c r="B13" s="28">
        <v>8.0</v>
      </c>
      <c r="C13" s="36" t="s">
        <v>196</v>
      </c>
      <c r="D13" s="30" t="s">
        <v>81</v>
      </c>
      <c r="E13" s="31" t="s">
        <v>119</v>
      </c>
      <c r="F13" s="32"/>
      <c r="G13" s="33"/>
      <c r="H13" s="34"/>
      <c r="I13" s="35"/>
      <c r="J13" s="27"/>
      <c r="K13" s="27"/>
      <c r="L13" s="27"/>
      <c r="M13" s="27"/>
      <c r="N13" s="27"/>
      <c r="O13" s="27"/>
      <c r="P13" s="27"/>
      <c r="Q13" s="27"/>
      <c r="R13" s="27"/>
      <c r="S13" s="27"/>
      <c r="T13" s="27"/>
      <c r="U13" s="27"/>
      <c r="V13" s="27"/>
      <c r="W13" s="27"/>
      <c r="X13" s="27"/>
      <c r="Y13" s="27"/>
      <c r="Z13" s="27"/>
    </row>
    <row r="14" ht="13.5" customHeight="1">
      <c r="A14" s="27"/>
      <c r="B14" s="28">
        <v>9.0</v>
      </c>
      <c r="C14" s="36" t="s">
        <v>197</v>
      </c>
      <c r="D14" s="30" t="s">
        <v>81</v>
      </c>
      <c r="E14" s="31" t="s">
        <v>119</v>
      </c>
      <c r="F14" s="32"/>
      <c r="G14" s="33"/>
      <c r="H14" s="34"/>
      <c r="I14" s="35"/>
      <c r="J14" s="27"/>
      <c r="K14" s="27"/>
      <c r="L14" s="27"/>
      <c r="M14" s="27"/>
      <c r="N14" s="27"/>
      <c r="O14" s="27"/>
      <c r="P14" s="27"/>
      <c r="Q14" s="27"/>
      <c r="R14" s="27"/>
      <c r="S14" s="27"/>
      <c r="T14" s="27"/>
      <c r="U14" s="27"/>
      <c r="V14" s="27"/>
      <c r="W14" s="27"/>
      <c r="X14" s="27"/>
      <c r="Y14" s="27"/>
      <c r="Z14" s="27"/>
    </row>
    <row r="15" ht="13.5" customHeight="1">
      <c r="A15" s="27"/>
      <c r="B15" s="28">
        <v>10.0</v>
      </c>
      <c r="C15" s="36"/>
      <c r="D15" s="30"/>
      <c r="E15" s="37"/>
      <c r="F15" s="32"/>
      <c r="G15" s="33"/>
      <c r="H15" s="34"/>
      <c r="I15" s="35"/>
      <c r="J15" s="27"/>
      <c r="K15" s="27"/>
      <c r="L15" s="27"/>
      <c r="M15" s="27"/>
      <c r="N15" s="27"/>
      <c r="O15" s="27"/>
      <c r="P15" s="27"/>
      <c r="Q15" s="27"/>
      <c r="R15" s="27"/>
      <c r="S15" s="27"/>
      <c r="T15" s="27"/>
      <c r="U15" s="27"/>
      <c r="V15" s="27"/>
      <c r="W15" s="27"/>
      <c r="X15" s="27"/>
      <c r="Y15" s="27"/>
      <c r="Z15" s="27"/>
    </row>
    <row r="16" ht="13.5" customHeight="1">
      <c r="A16" s="27"/>
      <c r="B16" s="28">
        <v>11.0</v>
      </c>
      <c r="C16" s="36"/>
      <c r="D16" s="30"/>
      <c r="E16" s="37"/>
      <c r="F16" s="32"/>
      <c r="G16" s="33"/>
      <c r="H16" s="34"/>
      <c r="I16" s="35"/>
      <c r="J16" s="27"/>
      <c r="K16" s="27"/>
      <c r="L16" s="27"/>
      <c r="M16" s="27"/>
      <c r="N16" s="27"/>
      <c r="O16" s="27"/>
      <c r="P16" s="27"/>
      <c r="Q16" s="27"/>
      <c r="R16" s="27"/>
      <c r="S16" s="27"/>
      <c r="T16" s="27"/>
      <c r="U16" s="27"/>
      <c r="V16" s="27"/>
      <c r="W16" s="27"/>
      <c r="X16" s="27"/>
      <c r="Y16" s="27"/>
      <c r="Z16" s="27"/>
    </row>
    <row r="17" ht="13.5" customHeight="1">
      <c r="A17" s="27"/>
      <c r="B17" s="28">
        <v>12.0</v>
      </c>
      <c r="C17" s="36"/>
      <c r="D17" s="30"/>
      <c r="E17" s="37"/>
      <c r="F17" s="32"/>
      <c r="G17" s="33"/>
      <c r="H17" s="34"/>
      <c r="I17" s="35"/>
      <c r="J17" s="27"/>
      <c r="K17" s="27"/>
      <c r="L17" s="27"/>
      <c r="M17" s="27"/>
      <c r="N17" s="27"/>
      <c r="O17" s="27"/>
      <c r="P17" s="27"/>
      <c r="Q17" s="27"/>
      <c r="R17" s="27"/>
      <c r="S17" s="27"/>
      <c r="T17" s="27"/>
      <c r="U17" s="27"/>
      <c r="V17" s="27"/>
      <c r="W17" s="27"/>
      <c r="X17" s="27"/>
      <c r="Y17" s="27"/>
      <c r="Z17" s="27"/>
    </row>
    <row r="18" ht="13.5" customHeight="1">
      <c r="A18" s="27"/>
      <c r="B18" s="28">
        <v>13.0</v>
      </c>
      <c r="C18" s="36"/>
      <c r="D18" s="30"/>
      <c r="E18" s="37"/>
      <c r="F18" s="32"/>
      <c r="G18" s="33"/>
      <c r="H18" s="34"/>
      <c r="I18" s="35"/>
      <c r="J18" s="27"/>
      <c r="K18" s="27"/>
      <c r="L18" s="27"/>
      <c r="M18" s="27"/>
      <c r="N18" s="27"/>
      <c r="O18" s="27"/>
      <c r="P18" s="27"/>
      <c r="Q18" s="27"/>
      <c r="R18" s="27"/>
      <c r="S18" s="27"/>
      <c r="T18" s="27"/>
      <c r="U18" s="27"/>
      <c r="V18" s="27"/>
      <c r="W18" s="27"/>
      <c r="X18" s="27"/>
      <c r="Y18" s="27"/>
      <c r="Z18" s="27"/>
    </row>
    <row r="19" ht="13.5" customHeight="1">
      <c r="A19" s="27"/>
      <c r="B19" s="28">
        <v>14.0</v>
      </c>
      <c r="C19" s="36"/>
      <c r="D19" s="30"/>
      <c r="E19" s="37"/>
      <c r="F19" s="32"/>
      <c r="G19" s="33"/>
      <c r="H19" s="34"/>
      <c r="I19" s="35"/>
      <c r="J19" s="27"/>
      <c r="K19" s="27"/>
      <c r="L19" s="27"/>
      <c r="M19" s="27"/>
      <c r="N19" s="27"/>
      <c r="O19" s="27"/>
      <c r="P19" s="27"/>
      <c r="Q19" s="27"/>
      <c r="R19" s="27"/>
      <c r="S19" s="27"/>
      <c r="T19" s="27"/>
      <c r="U19" s="27"/>
      <c r="V19" s="27"/>
      <c r="W19" s="27"/>
      <c r="X19" s="27"/>
      <c r="Y19" s="27"/>
      <c r="Z19" s="27"/>
    </row>
    <row r="20" ht="13.5" customHeight="1">
      <c r="A20" s="27"/>
      <c r="B20" s="28">
        <v>15.0</v>
      </c>
      <c r="C20" s="36"/>
      <c r="D20" s="30"/>
      <c r="E20" s="37"/>
      <c r="F20" s="32"/>
      <c r="G20" s="33"/>
      <c r="H20" s="34"/>
      <c r="I20" s="35"/>
      <c r="J20" s="27"/>
      <c r="K20" s="27"/>
      <c r="L20" s="27"/>
      <c r="M20" s="27"/>
      <c r="N20" s="27"/>
      <c r="O20" s="27"/>
      <c r="P20" s="27"/>
      <c r="Q20" s="27"/>
      <c r="R20" s="27"/>
      <c r="S20" s="27"/>
      <c r="T20" s="27"/>
      <c r="U20" s="27"/>
      <c r="V20" s="27"/>
      <c r="W20" s="27"/>
      <c r="X20" s="27"/>
      <c r="Y20" s="27"/>
      <c r="Z20" s="27"/>
    </row>
    <row r="21" ht="13.5" customHeight="1">
      <c r="A21" s="27"/>
      <c r="B21" s="28">
        <v>16.0</v>
      </c>
      <c r="C21" s="36"/>
      <c r="D21" s="30"/>
      <c r="E21" s="37"/>
      <c r="F21" s="32"/>
      <c r="G21" s="33"/>
      <c r="H21" s="34"/>
      <c r="I21" s="35"/>
      <c r="J21" s="27"/>
      <c r="K21" s="27"/>
      <c r="L21" s="27"/>
      <c r="M21" s="27"/>
      <c r="N21" s="27"/>
      <c r="O21" s="27"/>
      <c r="P21" s="27"/>
      <c r="Q21" s="27"/>
      <c r="R21" s="27"/>
      <c r="S21" s="27"/>
      <c r="T21" s="27"/>
      <c r="U21" s="27"/>
      <c r="V21" s="27"/>
      <c r="W21" s="27"/>
      <c r="X21" s="27"/>
      <c r="Y21" s="27"/>
      <c r="Z21" s="27"/>
    </row>
    <row r="22" ht="13.5" customHeight="1">
      <c r="A22" s="27"/>
      <c r="B22" s="28">
        <v>17.0</v>
      </c>
      <c r="C22" s="36"/>
      <c r="D22" s="30"/>
      <c r="E22" s="37"/>
      <c r="F22" s="32"/>
      <c r="G22" s="33"/>
      <c r="H22" s="34"/>
      <c r="I22" s="35"/>
      <c r="J22" s="27"/>
      <c r="K22" s="27"/>
      <c r="L22" s="27"/>
      <c r="M22" s="27"/>
      <c r="N22" s="27"/>
      <c r="O22" s="27"/>
      <c r="P22" s="27"/>
      <c r="Q22" s="27"/>
      <c r="R22" s="27"/>
      <c r="S22" s="27"/>
      <c r="T22" s="27"/>
      <c r="U22" s="27"/>
      <c r="V22" s="27"/>
      <c r="W22" s="27"/>
      <c r="X22" s="27"/>
      <c r="Y22" s="27"/>
      <c r="Z22" s="27"/>
    </row>
    <row r="23" ht="13.5" customHeight="1">
      <c r="A23" s="27"/>
      <c r="B23" s="28">
        <v>18.0</v>
      </c>
      <c r="C23" s="36"/>
      <c r="D23" s="30"/>
      <c r="E23" s="37"/>
      <c r="F23" s="32"/>
      <c r="G23" s="33"/>
      <c r="H23" s="34"/>
      <c r="I23" s="35"/>
      <c r="J23" s="27"/>
      <c r="K23" s="27"/>
      <c r="L23" s="27"/>
      <c r="M23" s="27"/>
      <c r="N23" s="27"/>
      <c r="O23" s="27"/>
      <c r="P23" s="27"/>
      <c r="Q23" s="27"/>
      <c r="R23" s="27"/>
      <c r="S23" s="27"/>
      <c r="T23" s="27"/>
      <c r="U23" s="27"/>
      <c r="V23" s="27"/>
      <c r="W23" s="27"/>
      <c r="X23" s="27"/>
      <c r="Y23" s="27"/>
      <c r="Z23" s="27"/>
    </row>
    <row r="24" ht="13.5" customHeight="1">
      <c r="A24" s="27"/>
      <c r="B24" s="28">
        <v>19.0</v>
      </c>
      <c r="C24" s="36"/>
      <c r="D24" s="30"/>
      <c r="E24" s="37"/>
      <c r="F24" s="32"/>
      <c r="G24" s="33"/>
      <c r="H24" s="34"/>
      <c r="I24" s="35"/>
      <c r="J24" s="27"/>
      <c r="K24" s="27"/>
      <c r="L24" s="27"/>
      <c r="M24" s="27"/>
      <c r="N24" s="27"/>
      <c r="O24" s="27"/>
      <c r="P24" s="27"/>
      <c r="Q24" s="27"/>
      <c r="R24" s="27"/>
      <c r="S24" s="27"/>
      <c r="T24" s="27"/>
      <c r="U24" s="27"/>
      <c r="V24" s="27"/>
      <c r="W24" s="27"/>
      <c r="X24" s="27"/>
      <c r="Y24" s="27"/>
      <c r="Z24" s="27"/>
    </row>
    <row r="25" ht="13.5" customHeight="1">
      <c r="A25" s="27"/>
      <c r="B25" s="28">
        <v>20.0</v>
      </c>
      <c r="C25" s="36"/>
      <c r="D25" s="30"/>
      <c r="E25" s="37"/>
      <c r="F25" s="32"/>
      <c r="G25" s="33"/>
      <c r="H25" s="34"/>
      <c r="I25" s="35"/>
      <c r="J25" s="27"/>
      <c r="K25" s="27"/>
      <c r="L25" s="27"/>
      <c r="M25" s="27"/>
      <c r="N25" s="27"/>
      <c r="O25" s="27"/>
      <c r="P25" s="27"/>
      <c r="Q25" s="27"/>
      <c r="R25" s="27"/>
      <c r="S25" s="27"/>
      <c r="T25" s="27"/>
      <c r="U25" s="27"/>
      <c r="V25" s="27"/>
      <c r="W25" s="27"/>
      <c r="X25" s="27"/>
      <c r="Y25" s="27"/>
      <c r="Z25" s="27"/>
    </row>
    <row r="26" ht="13.5" customHeight="1">
      <c r="A26" s="27"/>
      <c r="B26" s="28">
        <v>21.0</v>
      </c>
      <c r="C26" s="36"/>
      <c r="D26" s="30"/>
      <c r="E26" s="37"/>
      <c r="F26" s="32"/>
      <c r="G26" s="33"/>
      <c r="H26" s="34"/>
      <c r="I26" s="35"/>
      <c r="J26" s="27"/>
      <c r="K26" s="27"/>
      <c r="L26" s="27"/>
      <c r="M26" s="27"/>
      <c r="N26" s="27"/>
      <c r="O26" s="27"/>
      <c r="P26" s="27"/>
      <c r="Q26" s="27"/>
      <c r="R26" s="27"/>
      <c r="S26" s="27"/>
      <c r="T26" s="27"/>
      <c r="U26" s="27"/>
      <c r="V26" s="27"/>
      <c r="W26" s="27"/>
      <c r="X26" s="27"/>
      <c r="Y26" s="27"/>
      <c r="Z26" s="27"/>
    </row>
    <row r="27" ht="13.5" customHeight="1">
      <c r="A27" s="27"/>
      <c r="B27" s="28">
        <v>22.0</v>
      </c>
      <c r="C27" s="36"/>
      <c r="D27" s="30"/>
      <c r="E27" s="37"/>
      <c r="F27" s="32"/>
      <c r="G27" s="33"/>
      <c r="H27" s="34"/>
      <c r="I27" s="35"/>
      <c r="J27" s="27"/>
      <c r="K27" s="27"/>
      <c r="L27" s="27"/>
      <c r="M27" s="27"/>
      <c r="N27" s="27"/>
      <c r="O27" s="27"/>
      <c r="P27" s="27"/>
      <c r="Q27" s="27"/>
      <c r="R27" s="27"/>
      <c r="S27" s="27"/>
      <c r="T27" s="27"/>
      <c r="U27" s="27"/>
      <c r="V27" s="27"/>
      <c r="W27" s="27"/>
      <c r="X27" s="27"/>
      <c r="Y27" s="27"/>
      <c r="Z27" s="27"/>
    </row>
    <row r="28" ht="13.5" customHeight="1">
      <c r="A28" s="27"/>
      <c r="B28" s="28">
        <v>23.0</v>
      </c>
      <c r="C28" s="36"/>
      <c r="D28" s="30"/>
      <c r="E28" s="37"/>
      <c r="F28" s="32"/>
      <c r="G28" s="33"/>
      <c r="H28" s="34"/>
      <c r="I28" s="35"/>
      <c r="J28" s="27"/>
      <c r="K28" s="27"/>
      <c r="L28" s="27"/>
      <c r="M28" s="27"/>
      <c r="N28" s="27"/>
      <c r="O28" s="27"/>
      <c r="P28" s="27"/>
      <c r="Q28" s="27"/>
      <c r="R28" s="27"/>
      <c r="S28" s="27"/>
      <c r="T28" s="27"/>
      <c r="U28" s="27"/>
      <c r="V28" s="27"/>
      <c r="W28" s="27"/>
      <c r="X28" s="27"/>
      <c r="Y28" s="27"/>
      <c r="Z28" s="27"/>
    </row>
    <row r="29" ht="13.5" customHeight="1">
      <c r="A29" s="27"/>
      <c r="B29" s="28">
        <v>24.0</v>
      </c>
      <c r="C29" s="36"/>
      <c r="D29" s="30"/>
      <c r="E29" s="37"/>
      <c r="F29" s="32"/>
      <c r="G29" s="33"/>
      <c r="H29" s="34"/>
      <c r="I29" s="35"/>
      <c r="J29" s="27"/>
      <c r="K29" s="27"/>
      <c r="L29" s="27"/>
      <c r="M29" s="27"/>
      <c r="N29" s="27"/>
      <c r="O29" s="27"/>
      <c r="P29" s="27"/>
      <c r="Q29" s="27"/>
      <c r="R29" s="27"/>
      <c r="S29" s="27"/>
      <c r="T29" s="27"/>
      <c r="U29" s="27"/>
      <c r="V29" s="27"/>
      <c r="W29" s="27"/>
      <c r="X29" s="27"/>
      <c r="Y29" s="27"/>
      <c r="Z29" s="27"/>
    </row>
    <row r="30" ht="13.5" customHeight="1">
      <c r="A30" s="27"/>
      <c r="B30" s="28">
        <v>25.0</v>
      </c>
      <c r="C30" s="36"/>
      <c r="D30" s="30"/>
      <c r="E30" s="37"/>
      <c r="F30" s="32"/>
      <c r="G30" s="33"/>
      <c r="H30" s="34"/>
      <c r="I30" s="35"/>
      <c r="J30" s="27"/>
      <c r="K30" s="27"/>
      <c r="L30" s="27"/>
      <c r="M30" s="27"/>
      <c r="N30" s="27"/>
      <c r="O30" s="27"/>
      <c r="P30" s="27"/>
      <c r="Q30" s="27"/>
      <c r="R30" s="27"/>
      <c r="S30" s="27"/>
      <c r="T30" s="27"/>
      <c r="U30" s="27"/>
      <c r="V30" s="27"/>
      <c r="W30" s="27"/>
      <c r="X30" s="27"/>
      <c r="Y30" s="27"/>
      <c r="Z30" s="27"/>
    </row>
    <row r="31" ht="13.5" customHeight="1">
      <c r="A31" s="27"/>
      <c r="B31" s="28"/>
      <c r="C31" s="36"/>
      <c r="D31" s="30"/>
      <c r="E31" s="37"/>
      <c r="F31" s="32"/>
      <c r="G31" s="33"/>
      <c r="H31" s="34"/>
      <c r="I31" s="35"/>
      <c r="J31" s="27"/>
      <c r="K31" s="27"/>
      <c r="L31" s="27"/>
      <c r="M31" s="27"/>
      <c r="N31" s="27"/>
      <c r="O31" s="27"/>
      <c r="P31" s="27"/>
      <c r="Q31" s="27"/>
      <c r="R31" s="27"/>
      <c r="S31" s="27"/>
      <c r="T31" s="27"/>
      <c r="U31" s="27"/>
      <c r="V31" s="27"/>
      <c r="W31" s="27"/>
      <c r="X31" s="27"/>
      <c r="Y31" s="27"/>
      <c r="Z31" s="27"/>
    </row>
    <row r="32" ht="13.5" customHeight="1">
      <c r="A32" s="27"/>
      <c r="B32" s="28"/>
      <c r="C32" s="36"/>
      <c r="D32" s="30"/>
      <c r="E32" s="37"/>
      <c r="F32" s="32"/>
      <c r="G32" s="33"/>
      <c r="H32" s="34"/>
      <c r="I32" s="35"/>
      <c r="J32" s="27"/>
      <c r="K32" s="27"/>
      <c r="L32" s="27"/>
      <c r="M32" s="27"/>
      <c r="N32" s="27"/>
      <c r="O32" s="27"/>
      <c r="P32" s="27"/>
      <c r="Q32" s="27"/>
      <c r="R32" s="27"/>
      <c r="S32" s="27"/>
      <c r="T32" s="27"/>
      <c r="U32" s="27"/>
      <c r="V32" s="27"/>
      <c r="W32" s="27"/>
      <c r="X32" s="27"/>
      <c r="Y32" s="27"/>
      <c r="Z32" s="27"/>
    </row>
    <row r="33" ht="13.5" customHeight="1">
      <c r="A33" s="27"/>
      <c r="B33" s="28"/>
      <c r="C33" s="36"/>
      <c r="D33" s="30"/>
      <c r="E33" s="37"/>
      <c r="F33" s="32"/>
      <c r="G33" s="33"/>
      <c r="H33" s="34"/>
      <c r="I33" s="35"/>
      <c r="J33" s="27"/>
      <c r="K33" s="27"/>
      <c r="L33" s="27"/>
      <c r="M33" s="27"/>
      <c r="N33" s="27"/>
      <c r="O33" s="27"/>
      <c r="P33" s="27"/>
      <c r="Q33" s="27"/>
      <c r="R33" s="27"/>
      <c r="S33" s="27"/>
      <c r="T33" s="27"/>
      <c r="U33" s="27"/>
      <c r="V33" s="27"/>
      <c r="W33" s="27"/>
      <c r="X33" s="27"/>
      <c r="Y33" s="27"/>
      <c r="Z33" s="27"/>
    </row>
    <row r="34" ht="13.5" customHeight="1">
      <c r="A34" s="27"/>
      <c r="B34" s="28"/>
      <c r="C34" s="36"/>
      <c r="D34" s="30"/>
      <c r="E34" s="37"/>
      <c r="F34" s="32"/>
      <c r="G34" s="33"/>
      <c r="H34" s="34"/>
      <c r="I34" s="35"/>
      <c r="J34" s="27"/>
      <c r="K34" s="27"/>
      <c r="L34" s="27"/>
      <c r="M34" s="27"/>
      <c r="N34" s="27"/>
      <c r="O34" s="27"/>
      <c r="P34" s="27"/>
      <c r="Q34" s="27"/>
      <c r="R34" s="27"/>
      <c r="S34" s="27"/>
      <c r="T34" s="27"/>
      <c r="U34" s="27"/>
      <c r="V34" s="27"/>
      <c r="W34" s="27"/>
      <c r="X34" s="27"/>
      <c r="Y34" s="27"/>
      <c r="Z34" s="27"/>
    </row>
    <row r="35" ht="16.5" customHeight="1">
      <c r="A35" s="12"/>
      <c r="B35" s="42"/>
      <c r="C35" s="5"/>
      <c r="D35" s="42"/>
      <c r="E35" s="5"/>
      <c r="F35" s="43"/>
      <c r="G35" s="33"/>
      <c r="H35" s="34"/>
      <c r="I35" s="21"/>
      <c r="J35" s="12"/>
      <c r="K35" s="12"/>
      <c r="L35" s="12"/>
      <c r="M35" s="12"/>
      <c r="N35" s="12"/>
      <c r="O35" s="12"/>
      <c r="P35" s="12"/>
      <c r="Q35" s="12"/>
      <c r="R35" s="12"/>
      <c r="S35" s="12"/>
      <c r="T35" s="12"/>
      <c r="U35" s="12"/>
      <c r="V35" s="12"/>
      <c r="W35" s="12"/>
      <c r="X35" s="12"/>
      <c r="Y35" s="12"/>
      <c r="Z35" s="12"/>
    </row>
    <row r="36" ht="13.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3.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3.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3.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3.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3.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3.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3.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3.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3.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3.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3.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3.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3.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3.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3.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3.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3.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3.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3.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3.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3.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3.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3.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3.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3.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3.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3.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3.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3.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3.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3.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3.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3.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3.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3.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3.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3.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3.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3.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3.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3.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3.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3.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3.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3.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3.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3.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3.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3.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3.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3.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3.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3.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3.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3.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3.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3.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3.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3.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3.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3.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3.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3.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3.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3.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3.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3.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3.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3.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3.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3.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3.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3.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3.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3.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3.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3.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3.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3.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3.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3.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3.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3.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3.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3.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3.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3.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3.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3.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3.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3.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3.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3.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3.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3.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3.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3.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3.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3.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3.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3.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3.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3.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3.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3.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3.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3.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3.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3.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3.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3.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3.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3.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3.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3.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3.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3.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3.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3.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3.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3.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3.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3.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3.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3.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3.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3.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3.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3.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3.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3.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3.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3.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3.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3.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3.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3.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3.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3.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3.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3.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3.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3.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3.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3.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3.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3.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3.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3.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3.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3.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3.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3.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3.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3.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3.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3.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3.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3.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3.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3.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3.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3.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3.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3.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3.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3.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3.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3.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3.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3.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3.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3.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3.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3.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3.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3.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3.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3.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3.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3.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3.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3.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3.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3.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3.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3.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3.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3.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3.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3.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3.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3.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3.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3.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3.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3.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3.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3.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3.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3.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3.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3.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3.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3.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3.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3.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3.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3.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3.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3.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3.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3.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3.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3.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3.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3.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3.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3.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3.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3.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3.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3.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3.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3.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3.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3.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3.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3.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3.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3.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3.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3.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3.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3.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3.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3.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3.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3.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3.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3.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3.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3.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3.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3.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3.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3.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3.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3.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3.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3.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3.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3.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3.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3.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3.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3.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3.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3.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3.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3.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3.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3.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3.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3.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3.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3.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3.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3.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3.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3.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3.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3.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3.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3.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3.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3.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3.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3.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3.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3.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3.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3.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3.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3.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3.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3.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3.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3.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3.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3.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3.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3.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3.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3.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3.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3.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3.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3.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3.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3.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3.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3.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3.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3.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3.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3.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3.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3.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3.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3.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3.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3.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3.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3.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3.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3.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3.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3.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3.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3.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3.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3.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3.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3.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3.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3.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3.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3.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3.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3.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3.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3.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3.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3.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3.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3.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3.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3.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3.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3.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3.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3.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3.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3.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3.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3.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3.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3.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3.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3.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3.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3.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3.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3.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3.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3.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3.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3.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3.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3.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3.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3.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3.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3.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3.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3.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3.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3.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3.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3.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3.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3.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3.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3.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3.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3.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3.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3.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3.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3.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3.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3.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3.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3.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3.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3.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3.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3.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3.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3.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3.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3.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3.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3.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3.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3.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3.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3.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3.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3.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3.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3.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3.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3.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3.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3.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3.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3.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3.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3.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3.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3.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3.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3.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3.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3.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3.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3.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3.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3.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3.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3.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3.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3.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3.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3.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3.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3.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3.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3.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3.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3.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3.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3.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3.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3.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3.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3.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3.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3.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3.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3.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3.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3.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3.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3.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3.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3.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3.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3.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3.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3.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3.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3.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3.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3.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3.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3.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3.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3.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3.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3.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3.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3.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3.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3.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3.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3.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3.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3.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3.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3.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3.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3.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3.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3.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3.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3.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3.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3.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3.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3.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3.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3.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3.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3.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3.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3.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3.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3.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3.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3.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3.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3.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3.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3.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3.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3.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3.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3.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3.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3.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3.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3.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3.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3.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3.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3.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3.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3.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3.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3.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3.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3.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3.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3.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3.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3.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3.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3.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3.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3.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3.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3.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3.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3.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3.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3.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3.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3.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3.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3.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3.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3.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3.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3.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3.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3.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3.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3.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3.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3.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3.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3.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3.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3.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3.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3.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3.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3.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3.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3.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3.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3.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3.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3.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3.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3.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3.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3.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3.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3.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3.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3.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3.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3.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3.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3.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3.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3.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3.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3.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3.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3.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3.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3.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3.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3.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3.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3.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3.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3.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3.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3.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3.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3.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3.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3.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3.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3.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3.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3.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3.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3.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3.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3.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3.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3.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3.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3.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3.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3.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3.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3.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3.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3.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3.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3.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3.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3.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3.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3.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3.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3.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3.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3.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3.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3.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3.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3.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3.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3.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3.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3.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3.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3.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3.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3.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3.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3.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3.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3.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3.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3.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3.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3.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3.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3.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3.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3.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3.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3.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3.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3.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3.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3.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3.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3.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3.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3.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3.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3.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3.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3.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3.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3.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3.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3.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3.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3.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3.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3.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3.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3.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3.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3.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3.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3.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3.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3.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3.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3.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3.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3.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3.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3.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3.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3.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3.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3.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3.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3.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3.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3.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3.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3.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3.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3.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3.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3.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3.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3.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3.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3.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3.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3.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3.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3.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3.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3.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3.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3.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3.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3.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3.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3.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3.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3.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3.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3.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3.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3.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3.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3.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3.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3.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3.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3.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3.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3.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3.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3.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3.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3.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3.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3.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3.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3.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3.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3.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3.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3.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3.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3.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3.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3.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3.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3.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3.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3.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3.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3.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3.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3.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3.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3.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3.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3.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3.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3.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3.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3.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3.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3.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3.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3.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3.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3.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3.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3.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3.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3.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3.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3.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3.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3.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3.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3.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3.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3.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3.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3.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3.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3.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3.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3.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3.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3.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3.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3.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3.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3.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3.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3.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3.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3.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3.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3.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3.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3.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3.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3.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3.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3.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3.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3.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3.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3.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3.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3.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3.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3.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3.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3.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3.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3.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3.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3.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3.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3.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3.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3.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3.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3.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3.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3.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3.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3.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3.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3.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3.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3.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3.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3.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3.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3.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3.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3.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3.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3.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3.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3.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3.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3.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3.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3.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3.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3.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3.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3.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3.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3.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3.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3.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3.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3.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3.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3.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3.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3.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3.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3.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3.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3.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3.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3.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3.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3.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3.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3.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3.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3.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3.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3.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3.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3.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3.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3.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3.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3.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3.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3.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3.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3.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3.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3.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3.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3.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3.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3.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3.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3.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3.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3.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3.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3.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3.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3.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3.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3.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3.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3.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3.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3.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3.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3.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3.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3.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3.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3.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3.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3.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3.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3.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3.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3.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3.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3.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3.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3.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3.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3.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3.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3.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3.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3.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3.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3.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3.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3.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3.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3.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3.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3.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3.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3.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3.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3.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3.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3.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3.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3.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3.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3.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3.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3.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3.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3.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3.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3.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3.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3.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3.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3.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3.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3.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3.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3.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3.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3.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3.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3.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3.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3.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3.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3.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3.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3.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3.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3.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3.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3.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3.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8">
    <mergeCell ref="B2:F2"/>
    <mergeCell ref="B4:C5"/>
    <mergeCell ref="D4:D5"/>
    <mergeCell ref="E4:E5"/>
    <mergeCell ref="F4:F5"/>
    <mergeCell ref="G4:H4"/>
    <mergeCell ref="B35:C35"/>
    <mergeCell ref="D35:E35"/>
  </mergeCells>
  <dataValidations>
    <dataValidation type="list" allowBlank="1" showErrorMessage="1" sqref="E6:E34">
      <formula1>List_1</formula1>
    </dataValidation>
    <dataValidation type="list" allowBlank="1" showErrorMessage="1" sqref="D6:D34">
      <formula1>List_2</formula1>
    </dataValidation>
  </dataValidation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sheetViews>
  <sheetFormatPr customHeight="1" defaultColWidth="14.43" defaultRowHeight="15.0"/>
  <cols>
    <col customWidth="1" min="1" max="1" width="2.86"/>
    <col customWidth="1" min="2" max="2" width="7.43"/>
    <col customWidth="1" min="3" max="3" width="60.71"/>
    <col customWidth="1" min="4" max="4" width="18.86"/>
    <col customWidth="1" min="5" max="5" width="19.86"/>
    <col customWidth="1" min="6" max="6" width="41.43"/>
    <col customWidth="1" min="7" max="8" width="24.71"/>
    <col customWidth="1" min="9" max="26" width="9.14"/>
  </cols>
  <sheetData>
    <row r="1" ht="13.5"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ht="33.75" customHeight="1">
      <c r="A2" s="12"/>
      <c r="B2" s="13" t="s">
        <v>198</v>
      </c>
      <c r="C2" s="14"/>
      <c r="D2" s="14"/>
      <c r="E2" s="14"/>
      <c r="F2" s="5"/>
      <c r="G2" s="12"/>
      <c r="H2" s="12"/>
      <c r="I2" s="12"/>
      <c r="J2" s="12"/>
      <c r="K2" s="12"/>
      <c r="L2" s="12"/>
      <c r="M2" s="12"/>
      <c r="N2" s="12"/>
      <c r="O2" s="12"/>
      <c r="P2" s="12"/>
      <c r="Q2" s="12"/>
      <c r="R2" s="12"/>
      <c r="S2" s="12"/>
      <c r="T2" s="12"/>
      <c r="U2" s="12"/>
      <c r="V2" s="12"/>
      <c r="W2" s="12"/>
      <c r="X2" s="12"/>
      <c r="Y2" s="12"/>
      <c r="Z2" s="12"/>
    </row>
    <row r="3" ht="13.5" customHeight="1">
      <c r="A3" s="12"/>
      <c r="B3" s="12"/>
      <c r="C3" s="12"/>
      <c r="D3" s="12"/>
      <c r="E3" s="12"/>
      <c r="F3" s="12"/>
      <c r="G3" s="12"/>
      <c r="H3" s="12"/>
      <c r="I3" s="12"/>
      <c r="J3" s="12"/>
      <c r="K3" s="12"/>
      <c r="L3" s="12"/>
      <c r="M3" s="12"/>
      <c r="N3" s="12"/>
      <c r="O3" s="12"/>
      <c r="P3" s="12"/>
      <c r="Q3" s="12"/>
      <c r="R3" s="12"/>
      <c r="S3" s="12"/>
      <c r="T3" s="12"/>
      <c r="U3" s="12"/>
      <c r="V3" s="12"/>
      <c r="W3" s="12"/>
      <c r="X3" s="12"/>
      <c r="Y3" s="12"/>
      <c r="Z3" s="12"/>
    </row>
    <row r="4" ht="25.5" customHeight="1">
      <c r="A4" s="12"/>
      <c r="B4" s="16" t="s">
        <v>198</v>
      </c>
      <c r="C4" s="17"/>
      <c r="D4" s="18" t="s">
        <v>199</v>
      </c>
      <c r="E4" s="18" t="s">
        <v>200</v>
      </c>
      <c r="F4" s="44" t="s">
        <v>79</v>
      </c>
      <c r="G4" s="19"/>
      <c r="H4" s="20"/>
      <c r="I4" s="21"/>
      <c r="J4" s="12"/>
      <c r="K4" s="12"/>
      <c r="L4" s="12"/>
      <c r="M4" s="12"/>
      <c r="N4" s="12"/>
      <c r="O4" s="12"/>
      <c r="P4" s="12"/>
      <c r="Q4" s="12"/>
      <c r="R4" s="12"/>
      <c r="S4" s="12"/>
      <c r="T4" s="12"/>
      <c r="U4" s="12"/>
      <c r="V4" s="12"/>
      <c r="W4" s="12"/>
      <c r="X4" s="12"/>
      <c r="Y4" s="12"/>
      <c r="Z4" s="12"/>
    </row>
    <row r="5" ht="63.0" customHeight="1">
      <c r="A5" s="12"/>
      <c r="B5" s="22"/>
      <c r="C5" s="23"/>
      <c r="D5" s="24"/>
      <c r="E5" s="24"/>
      <c r="F5" s="24"/>
      <c r="G5" s="25"/>
      <c r="H5" s="26"/>
      <c r="I5" s="21"/>
      <c r="J5" s="12"/>
      <c r="K5" s="12"/>
      <c r="L5" s="12"/>
      <c r="M5" s="12"/>
      <c r="N5" s="12"/>
      <c r="O5" s="12"/>
      <c r="P5" s="12"/>
      <c r="Q5" s="12"/>
      <c r="R5" s="12"/>
      <c r="S5" s="12"/>
      <c r="T5" s="12"/>
      <c r="U5" s="12"/>
      <c r="V5" s="12"/>
      <c r="W5" s="12"/>
      <c r="X5" s="12"/>
      <c r="Y5" s="12"/>
      <c r="Z5" s="12"/>
    </row>
    <row r="6" ht="13.5" customHeight="1">
      <c r="A6" s="27"/>
      <c r="B6" s="28">
        <v>1.0</v>
      </c>
      <c r="C6" s="36" t="s">
        <v>201</v>
      </c>
      <c r="D6" s="30" t="s">
        <v>81</v>
      </c>
      <c r="E6" s="31" t="s">
        <v>119</v>
      </c>
      <c r="F6" s="45"/>
      <c r="G6" s="33"/>
      <c r="H6" s="34"/>
      <c r="I6" s="35"/>
      <c r="J6" s="27"/>
      <c r="K6" s="27"/>
      <c r="L6" s="27"/>
      <c r="M6" s="27"/>
      <c r="N6" s="27"/>
      <c r="O6" s="27"/>
      <c r="P6" s="27"/>
      <c r="Q6" s="27"/>
      <c r="R6" s="27"/>
      <c r="S6" s="27"/>
      <c r="T6" s="27"/>
      <c r="U6" s="27"/>
      <c r="V6" s="27"/>
      <c r="W6" s="27"/>
      <c r="X6" s="27"/>
      <c r="Y6" s="27"/>
      <c r="Z6" s="27"/>
    </row>
    <row r="7" ht="13.5" customHeight="1">
      <c r="A7" s="27"/>
      <c r="B7" s="28">
        <v>2.0</v>
      </c>
      <c r="C7" s="36" t="s">
        <v>202</v>
      </c>
      <c r="D7" s="30" t="s">
        <v>81</v>
      </c>
      <c r="E7" s="31" t="s">
        <v>119</v>
      </c>
      <c r="F7" s="46"/>
      <c r="G7" s="33"/>
      <c r="H7" s="34"/>
      <c r="I7" s="35"/>
      <c r="J7" s="27"/>
      <c r="K7" s="27"/>
      <c r="L7" s="27"/>
      <c r="M7" s="27"/>
      <c r="N7" s="27"/>
      <c r="O7" s="27"/>
      <c r="P7" s="27"/>
      <c r="Q7" s="27"/>
      <c r="R7" s="27"/>
      <c r="S7" s="27"/>
      <c r="T7" s="27"/>
      <c r="U7" s="27"/>
      <c r="V7" s="27"/>
      <c r="W7" s="27"/>
      <c r="X7" s="27"/>
      <c r="Y7" s="27"/>
      <c r="Z7" s="27"/>
    </row>
    <row r="8" ht="13.5" customHeight="1">
      <c r="A8" s="27"/>
      <c r="B8" s="28">
        <v>3.0</v>
      </c>
      <c r="C8" s="36" t="s">
        <v>203</v>
      </c>
      <c r="D8" s="30" t="s">
        <v>81</v>
      </c>
      <c r="E8" s="31" t="s">
        <v>119</v>
      </c>
      <c r="F8" s="45"/>
      <c r="G8" s="33"/>
      <c r="H8" s="34"/>
      <c r="I8" s="35"/>
      <c r="J8" s="27"/>
      <c r="K8" s="27"/>
      <c r="L8" s="27"/>
      <c r="M8" s="27"/>
      <c r="N8" s="27"/>
      <c r="O8" s="27"/>
      <c r="P8" s="27"/>
      <c r="Q8" s="27"/>
      <c r="R8" s="27"/>
      <c r="S8" s="27"/>
      <c r="T8" s="27"/>
      <c r="U8" s="27"/>
      <c r="V8" s="27"/>
      <c r="W8" s="27"/>
      <c r="X8" s="27"/>
      <c r="Y8" s="27"/>
      <c r="Z8" s="27"/>
    </row>
    <row r="9" ht="13.5" customHeight="1">
      <c r="A9" s="27"/>
      <c r="B9" s="28">
        <v>4.0</v>
      </c>
      <c r="C9" s="36" t="s">
        <v>204</v>
      </c>
      <c r="D9" s="30" t="s">
        <v>116</v>
      </c>
      <c r="E9" s="31" t="s">
        <v>119</v>
      </c>
      <c r="F9" s="45"/>
      <c r="G9" s="33"/>
      <c r="H9" s="34"/>
      <c r="I9" s="35"/>
      <c r="J9" s="27"/>
      <c r="K9" s="27"/>
      <c r="L9" s="27"/>
      <c r="M9" s="27"/>
      <c r="N9" s="27"/>
      <c r="O9" s="27"/>
      <c r="P9" s="27"/>
      <c r="Q9" s="27"/>
      <c r="R9" s="27"/>
      <c r="S9" s="27"/>
      <c r="T9" s="27"/>
      <c r="U9" s="27"/>
      <c r="V9" s="27"/>
      <c r="W9" s="27"/>
      <c r="X9" s="27"/>
      <c r="Y9" s="27"/>
      <c r="Z9" s="27"/>
    </row>
    <row r="10" ht="13.5" customHeight="1">
      <c r="A10" s="27"/>
      <c r="B10" s="28">
        <v>5.0</v>
      </c>
      <c r="C10" s="36" t="s">
        <v>205</v>
      </c>
      <c r="D10" s="30" t="s">
        <v>81</v>
      </c>
      <c r="E10" s="31" t="s">
        <v>119</v>
      </c>
      <c r="F10" s="45"/>
      <c r="G10" s="33"/>
      <c r="H10" s="34"/>
      <c r="I10" s="35"/>
      <c r="J10" s="27"/>
      <c r="K10" s="27"/>
      <c r="L10" s="27"/>
      <c r="M10" s="27"/>
      <c r="N10" s="27"/>
      <c r="O10" s="27"/>
      <c r="P10" s="27"/>
      <c r="Q10" s="27"/>
      <c r="R10" s="27"/>
      <c r="S10" s="27"/>
      <c r="T10" s="27"/>
      <c r="U10" s="27"/>
      <c r="V10" s="27"/>
      <c r="W10" s="27"/>
      <c r="X10" s="27"/>
      <c r="Y10" s="27"/>
      <c r="Z10" s="27"/>
    </row>
    <row r="11" ht="13.5" customHeight="1">
      <c r="A11" s="27"/>
      <c r="B11" s="28">
        <v>6.0</v>
      </c>
      <c r="C11" s="36" t="s">
        <v>206</v>
      </c>
      <c r="D11" s="30" t="s">
        <v>110</v>
      </c>
      <c r="E11" s="31" t="s">
        <v>119</v>
      </c>
      <c r="F11" s="46" t="s">
        <v>207</v>
      </c>
      <c r="G11" s="33"/>
      <c r="H11" s="34"/>
      <c r="I11" s="35"/>
      <c r="J11" s="27"/>
      <c r="K11" s="27"/>
      <c r="L11" s="27"/>
      <c r="M11" s="27"/>
      <c r="N11" s="27"/>
      <c r="O11" s="27"/>
      <c r="P11" s="27"/>
      <c r="Q11" s="27"/>
      <c r="R11" s="27"/>
      <c r="S11" s="27"/>
      <c r="T11" s="27"/>
      <c r="U11" s="27"/>
      <c r="V11" s="27"/>
      <c r="W11" s="27"/>
      <c r="X11" s="27"/>
      <c r="Y11" s="27"/>
      <c r="Z11" s="27"/>
    </row>
    <row r="12" ht="13.5" customHeight="1">
      <c r="A12" s="27"/>
      <c r="B12" s="28">
        <v>7.0</v>
      </c>
      <c r="C12" s="36" t="s">
        <v>208</v>
      </c>
      <c r="D12" s="30" t="s">
        <v>81</v>
      </c>
      <c r="E12" s="31" t="s">
        <v>119</v>
      </c>
      <c r="F12" s="45" t="s">
        <v>209</v>
      </c>
      <c r="G12" s="33"/>
      <c r="H12" s="34"/>
      <c r="I12" s="35"/>
      <c r="J12" s="27"/>
      <c r="K12" s="27"/>
      <c r="L12" s="27"/>
      <c r="M12" s="27"/>
      <c r="N12" s="27"/>
      <c r="O12" s="27"/>
      <c r="P12" s="27"/>
      <c r="Q12" s="27"/>
      <c r="R12" s="27"/>
      <c r="S12" s="27"/>
      <c r="T12" s="27"/>
      <c r="U12" s="27"/>
      <c r="V12" s="27"/>
      <c r="W12" s="27"/>
      <c r="X12" s="27"/>
      <c r="Y12" s="27"/>
      <c r="Z12" s="27"/>
    </row>
    <row r="13" ht="13.5" customHeight="1">
      <c r="A13" s="27"/>
      <c r="B13" s="28">
        <v>8.0</v>
      </c>
      <c r="C13" s="36" t="s">
        <v>210</v>
      </c>
      <c r="D13" s="30" t="s">
        <v>116</v>
      </c>
      <c r="E13" s="31" t="s">
        <v>119</v>
      </c>
      <c r="F13" s="45"/>
      <c r="G13" s="33"/>
      <c r="H13" s="34"/>
      <c r="I13" s="35"/>
      <c r="J13" s="27"/>
      <c r="K13" s="27"/>
      <c r="L13" s="27"/>
      <c r="M13" s="27"/>
      <c r="N13" s="27"/>
      <c r="O13" s="27"/>
      <c r="P13" s="27"/>
      <c r="Q13" s="27"/>
      <c r="R13" s="27"/>
      <c r="S13" s="27"/>
      <c r="T13" s="27"/>
      <c r="U13" s="27"/>
      <c r="V13" s="27"/>
      <c r="W13" s="27"/>
      <c r="X13" s="27"/>
      <c r="Y13" s="27"/>
      <c r="Z13" s="27"/>
    </row>
    <row r="14" ht="13.5" customHeight="1">
      <c r="A14" s="27"/>
      <c r="B14" s="28">
        <v>9.0</v>
      </c>
      <c r="C14" s="36" t="s">
        <v>211</v>
      </c>
      <c r="D14" s="30" t="s">
        <v>81</v>
      </c>
      <c r="E14" s="31" t="s">
        <v>119</v>
      </c>
      <c r="F14" s="45"/>
      <c r="G14" s="33"/>
      <c r="H14" s="34"/>
      <c r="I14" s="35"/>
      <c r="J14" s="27"/>
      <c r="K14" s="27"/>
      <c r="L14" s="27"/>
      <c r="M14" s="27"/>
      <c r="N14" s="27"/>
      <c r="O14" s="27"/>
      <c r="P14" s="27"/>
      <c r="Q14" s="27"/>
      <c r="R14" s="27"/>
      <c r="S14" s="27"/>
      <c r="T14" s="27"/>
      <c r="U14" s="27"/>
      <c r="V14" s="27"/>
      <c r="W14" s="27"/>
      <c r="X14" s="27"/>
      <c r="Y14" s="27"/>
      <c r="Z14" s="27"/>
    </row>
    <row r="15" ht="13.5" customHeight="1">
      <c r="A15" s="27"/>
      <c r="B15" s="28">
        <v>10.0</v>
      </c>
      <c r="C15" s="36" t="s">
        <v>212</v>
      </c>
      <c r="D15" s="30" t="s">
        <v>81</v>
      </c>
      <c r="E15" s="31" t="s">
        <v>82</v>
      </c>
      <c r="F15" s="45"/>
      <c r="G15" s="33"/>
      <c r="H15" s="34"/>
      <c r="I15" s="35"/>
      <c r="J15" s="27"/>
      <c r="K15" s="27"/>
      <c r="L15" s="27"/>
      <c r="M15" s="27"/>
      <c r="N15" s="27"/>
      <c r="O15" s="27"/>
      <c r="P15" s="27"/>
      <c r="Q15" s="27"/>
      <c r="R15" s="27"/>
      <c r="S15" s="27"/>
      <c r="T15" s="27"/>
      <c r="U15" s="27"/>
      <c r="V15" s="27"/>
      <c r="W15" s="27"/>
      <c r="X15" s="27"/>
      <c r="Y15" s="27"/>
      <c r="Z15" s="27"/>
    </row>
    <row r="16" ht="13.5" customHeight="1">
      <c r="A16" s="27"/>
      <c r="B16" s="28">
        <v>11.0</v>
      </c>
      <c r="C16" s="36" t="s">
        <v>213</v>
      </c>
      <c r="D16" s="30" t="s">
        <v>110</v>
      </c>
      <c r="E16" s="37"/>
      <c r="F16" s="45" t="s">
        <v>214</v>
      </c>
      <c r="G16" s="33"/>
      <c r="H16" s="34"/>
      <c r="I16" s="35"/>
      <c r="J16" s="27"/>
      <c r="K16" s="27"/>
      <c r="L16" s="27"/>
      <c r="M16" s="27"/>
      <c r="N16" s="27"/>
      <c r="O16" s="27"/>
      <c r="P16" s="27"/>
      <c r="Q16" s="27"/>
      <c r="R16" s="27"/>
      <c r="S16" s="27"/>
      <c r="T16" s="27"/>
      <c r="U16" s="27"/>
      <c r="V16" s="27"/>
      <c r="W16" s="27"/>
      <c r="X16" s="27"/>
      <c r="Y16" s="27"/>
      <c r="Z16" s="27"/>
    </row>
    <row r="17" ht="13.5" customHeight="1">
      <c r="A17" s="27"/>
      <c r="B17" s="28">
        <v>12.0</v>
      </c>
      <c r="C17" s="36" t="s">
        <v>215</v>
      </c>
      <c r="D17" s="30" t="s">
        <v>81</v>
      </c>
      <c r="E17" s="31" t="s">
        <v>216</v>
      </c>
      <c r="F17" s="46" t="s">
        <v>217</v>
      </c>
      <c r="G17" s="33"/>
      <c r="H17" s="34"/>
      <c r="I17" s="35"/>
      <c r="J17" s="27"/>
      <c r="K17" s="27"/>
      <c r="L17" s="27"/>
      <c r="M17" s="27"/>
      <c r="N17" s="27"/>
      <c r="O17" s="27"/>
      <c r="P17" s="27"/>
      <c r="Q17" s="27"/>
      <c r="R17" s="27"/>
      <c r="S17" s="27"/>
      <c r="T17" s="27"/>
      <c r="U17" s="27"/>
      <c r="V17" s="27"/>
      <c r="W17" s="27"/>
      <c r="X17" s="27"/>
      <c r="Y17" s="27"/>
      <c r="Z17" s="27"/>
    </row>
    <row r="18" ht="13.5" customHeight="1">
      <c r="A18" s="27"/>
      <c r="B18" s="28">
        <v>13.0</v>
      </c>
      <c r="C18" s="36"/>
      <c r="D18" s="30"/>
      <c r="E18" s="37"/>
      <c r="F18" s="45"/>
      <c r="G18" s="33"/>
      <c r="H18" s="34"/>
      <c r="I18" s="35"/>
      <c r="J18" s="27"/>
      <c r="K18" s="27"/>
      <c r="L18" s="27"/>
      <c r="M18" s="27"/>
      <c r="N18" s="27"/>
      <c r="O18" s="27"/>
      <c r="P18" s="27"/>
      <c r="Q18" s="27"/>
      <c r="R18" s="27"/>
      <c r="S18" s="27"/>
      <c r="T18" s="27"/>
      <c r="U18" s="27"/>
      <c r="V18" s="27"/>
      <c r="W18" s="27"/>
      <c r="X18" s="27"/>
      <c r="Y18" s="27"/>
      <c r="Z18" s="27"/>
    </row>
    <row r="19" ht="13.5" customHeight="1">
      <c r="A19" s="27"/>
      <c r="B19" s="28">
        <v>14.0</v>
      </c>
      <c r="C19" s="36"/>
      <c r="D19" s="30"/>
      <c r="E19" s="37"/>
      <c r="F19" s="45"/>
      <c r="G19" s="33"/>
      <c r="H19" s="34"/>
      <c r="I19" s="35"/>
      <c r="J19" s="27"/>
      <c r="K19" s="27"/>
      <c r="L19" s="27"/>
      <c r="M19" s="27"/>
      <c r="N19" s="27"/>
      <c r="O19" s="27"/>
      <c r="P19" s="27"/>
      <c r="Q19" s="27"/>
      <c r="R19" s="27"/>
      <c r="S19" s="27"/>
      <c r="T19" s="27"/>
      <c r="U19" s="27"/>
      <c r="V19" s="27"/>
      <c r="W19" s="27"/>
      <c r="X19" s="27"/>
      <c r="Y19" s="27"/>
      <c r="Z19" s="27"/>
    </row>
    <row r="20" ht="13.5" customHeight="1">
      <c r="A20" s="27"/>
      <c r="B20" s="28">
        <v>15.0</v>
      </c>
      <c r="C20" s="36"/>
      <c r="D20" s="30"/>
      <c r="E20" s="37"/>
      <c r="F20" s="45"/>
      <c r="G20" s="33"/>
      <c r="H20" s="34"/>
      <c r="I20" s="35"/>
      <c r="J20" s="27"/>
      <c r="K20" s="27"/>
      <c r="L20" s="27"/>
      <c r="M20" s="27"/>
      <c r="N20" s="27"/>
      <c r="O20" s="27"/>
      <c r="P20" s="27"/>
      <c r="Q20" s="27"/>
      <c r="R20" s="27"/>
      <c r="S20" s="27"/>
      <c r="T20" s="27"/>
      <c r="U20" s="27"/>
      <c r="V20" s="27"/>
      <c r="W20" s="27"/>
      <c r="X20" s="27"/>
      <c r="Y20" s="27"/>
      <c r="Z20" s="27"/>
    </row>
    <row r="21" ht="13.5" customHeight="1">
      <c r="A21" s="27"/>
      <c r="B21" s="28">
        <v>16.0</v>
      </c>
      <c r="C21" s="36"/>
      <c r="D21" s="30"/>
      <c r="E21" s="37"/>
      <c r="F21" s="45"/>
      <c r="G21" s="33"/>
      <c r="H21" s="34"/>
      <c r="I21" s="35"/>
      <c r="J21" s="27"/>
      <c r="K21" s="27"/>
      <c r="L21" s="27"/>
      <c r="M21" s="27"/>
      <c r="N21" s="27"/>
      <c r="O21" s="27"/>
      <c r="P21" s="27"/>
      <c r="Q21" s="27"/>
      <c r="R21" s="27"/>
      <c r="S21" s="27"/>
      <c r="T21" s="27"/>
      <c r="U21" s="27"/>
      <c r="V21" s="27"/>
      <c r="W21" s="27"/>
      <c r="X21" s="27"/>
      <c r="Y21" s="27"/>
      <c r="Z21" s="27"/>
    </row>
    <row r="22" ht="13.5" customHeight="1">
      <c r="A22" s="27"/>
      <c r="B22" s="28">
        <v>17.0</v>
      </c>
      <c r="C22" s="36"/>
      <c r="D22" s="30"/>
      <c r="E22" s="37"/>
      <c r="F22" s="45"/>
      <c r="G22" s="33"/>
      <c r="H22" s="34"/>
      <c r="I22" s="35"/>
      <c r="J22" s="27"/>
      <c r="K22" s="27"/>
      <c r="L22" s="27"/>
      <c r="M22" s="27"/>
      <c r="N22" s="27"/>
      <c r="O22" s="27"/>
      <c r="P22" s="27"/>
      <c r="Q22" s="27"/>
      <c r="R22" s="27"/>
      <c r="S22" s="27"/>
      <c r="T22" s="27"/>
      <c r="U22" s="27"/>
      <c r="V22" s="27"/>
      <c r="W22" s="27"/>
      <c r="X22" s="27"/>
      <c r="Y22" s="27"/>
      <c r="Z22" s="27"/>
    </row>
    <row r="23" ht="13.5" customHeight="1">
      <c r="A23" s="27"/>
      <c r="B23" s="28">
        <v>18.0</v>
      </c>
      <c r="C23" s="36"/>
      <c r="D23" s="30"/>
      <c r="E23" s="37"/>
      <c r="F23" s="45"/>
      <c r="G23" s="33"/>
      <c r="H23" s="34"/>
      <c r="I23" s="35"/>
      <c r="J23" s="27"/>
      <c r="K23" s="27"/>
      <c r="L23" s="27"/>
      <c r="M23" s="27"/>
      <c r="N23" s="27"/>
      <c r="O23" s="27"/>
      <c r="P23" s="27"/>
      <c r="Q23" s="27"/>
      <c r="R23" s="27"/>
      <c r="S23" s="27"/>
      <c r="T23" s="27"/>
      <c r="U23" s="27"/>
      <c r="V23" s="27"/>
      <c r="W23" s="27"/>
      <c r="X23" s="27"/>
      <c r="Y23" s="27"/>
      <c r="Z23" s="27"/>
    </row>
    <row r="24" ht="13.5" customHeight="1">
      <c r="A24" s="27"/>
      <c r="B24" s="28">
        <v>19.0</v>
      </c>
      <c r="C24" s="36"/>
      <c r="D24" s="30"/>
      <c r="E24" s="37"/>
      <c r="F24" s="45"/>
      <c r="G24" s="33"/>
      <c r="H24" s="34"/>
      <c r="I24" s="35"/>
      <c r="J24" s="27"/>
      <c r="K24" s="27"/>
      <c r="L24" s="27"/>
      <c r="M24" s="27"/>
      <c r="N24" s="27"/>
      <c r="O24" s="27"/>
      <c r="P24" s="27"/>
      <c r="Q24" s="27"/>
      <c r="R24" s="27"/>
      <c r="S24" s="27"/>
      <c r="T24" s="27"/>
      <c r="U24" s="27"/>
      <c r="V24" s="27"/>
      <c r="W24" s="27"/>
      <c r="X24" s="27"/>
      <c r="Y24" s="27"/>
      <c r="Z24" s="27"/>
    </row>
    <row r="25" ht="13.5" customHeight="1">
      <c r="A25" s="27"/>
      <c r="B25" s="28">
        <v>20.0</v>
      </c>
      <c r="C25" s="36"/>
      <c r="D25" s="30"/>
      <c r="E25" s="37"/>
      <c r="F25" s="45"/>
      <c r="G25" s="33"/>
      <c r="H25" s="34"/>
      <c r="I25" s="35"/>
      <c r="J25" s="27"/>
      <c r="K25" s="27"/>
      <c r="L25" s="27"/>
      <c r="M25" s="27"/>
      <c r="N25" s="27"/>
      <c r="O25" s="27"/>
      <c r="P25" s="27"/>
      <c r="Q25" s="27"/>
      <c r="R25" s="27"/>
      <c r="S25" s="27"/>
      <c r="T25" s="27"/>
      <c r="U25" s="27"/>
      <c r="V25" s="27"/>
      <c r="W25" s="27"/>
      <c r="X25" s="27"/>
      <c r="Y25" s="27"/>
      <c r="Z25" s="27"/>
    </row>
    <row r="26" ht="13.5" customHeight="1">
      <c r="A26" s="27"/>
      <c r="B26" s="28">
        <v>21.0</v>
      </c>
      <c r="C26" s="36"/>
      <c r="D26" s="30"/>
      <c r="E26" s="37"/>
      <c r="F26" s="45"/>
      <c r="G26" s="33"/>
      <c r="H26" s="34"/>
      <c r="I26" s="35"/>
      <c r="J26" s="27"/>
      <c r="K26" s="27"/>
      <c r="L26" s="27"/>
      <c r="M26" s="27"/>
      <c r="N26" s="27"/>
      <c r="O26" s="27"/>
      <c r="P26" s="27"/>
      <c r="Q26" s="27"/>
      <c r="R26" s="27"/>
      <c r="S26" s="27"/>
      <c r="T26" s="27"/>
      <c r="U26" s="27"/>
      <c r="V26" s="27"/>
      <c r="W26" s="27"/>
      <c r="X26" s="27"/>
      <c r="Y26" s="27"/>
      <c r="Z26" s="27"/>
    </row>
    <row r="27" ht="13.5" customHeight="1">
      <c r="A27" s="27"/>
      <c r="B27" s="28">
        <v>22.0</v>
      </c>
      <c r="C27" s="36"/>
      <c r="D27" s="30"/>
      <c r="E27" s="37"/>
      <c r="F27" s="45"/>
      <c r="G27" s="33"/>
      <c r="H27" s="34"/>
      <c r="I27" s="35"/>
      <c r="J27" s="27"/>
      <c r="K27" s="27"/>
      <c r="L27" s="27"/>
      <c r="M27" s="27"/>
      <c r="N27" s="27"/>
      <c r="O27" s="27"/>
      <c r="P27" s="27"/>
      <c r="Q27" s="27"/>
      <c r="R27" s="27"/>
      <c r="S27" s="27"/>
      <c r="T27" s="27"/>
      <c r="U27" s="27"/>
      <c r="V27" s="27"/>
      <c r="W27" s="27"/>
      <c r="X27" s="27"/>
      <c r="Y27" s="27"/>
      <c r="Z27" s="27"/>
    </row>
    <row r="28" ht="13.5" customHeight="1">
      <c r="A28" s="27"/>
      <c r="B28" s="28">
        <v>23.0</v>
      </c>
      <c r="C28" s="36"/>
      <c r="D28" s="30"/>
      <c r="E28" s="37"/>
      <c r="F28" s="45"/>
      <c r="G28" s="33"/>
      <c r="H28" s="34"/>
      <c r="I28" s="35"/>
      <c r="J28" s="27"/>
      <c r="K28" s="27"/>
      <c r="L28" s="27"/>
      <c r="M28" s="27"/>
      <c r="N28" s="27"/>
      <c r="O28" s="27"/>
      <c r="P28" s="27"/>
      <c r="Q28" s="27"/>
      <c r="R28" s="27"/>
      <c r="S28" s="27"/>
      <c r="T28" s="27"/>
      <c r="U28" s="27"/>
      <c r="V28" s="27"/>
      <c r="W28" s="27"/>
      <c r="X28" s="27"/>
      <c r="Y28" s="27"/>
      <c r="Z28" s="27"/>
    </row>
    <row r="29" ht="13.5" customHeight="1">
      <c r="A29" s="27"/>
      <c r="B29" s="28">
        <v>24.0</v>
      </c>
      <c r="C29" s="36"/>
      <c r="D29" s="30"/>
      <c r="E29" s="37"/>
      <c r="F29" s="45"/>
      <c r="G29" s="33"/>
      <c r="H29" s="34"/>
      <c r="I29" s="35"/>
      <c r="J29" s="27"/>
      <c r="K29" s="27"/>
      <c r="L29" s="27"/>
      <c r="M29" s="27"/>
      <c r="N29" s="27"/>
      <c r="O29" s="27"/>
      <c r="P29" s="27"/>
      <c r="Q29" s="27"/>
      <c r="R29" s="27"/>
      <c r="S29" s="27"/>
      <c r="T29" s="27"/>
      <c r="U29" s="27"/>
      <c r="V29" s="27"/>
      <c r="W29" s="27"/>
      <c r="X29" s="27"/>
      <c r="Y29" s="27"/>
      <c r="Z29" s="27"/>
    </row>
    <row r="30" ht="13.5" customHeight="1">
      <c r="A30" s="27"/>
      <c r="B30" s="28">
        <v>25.0</v>
      </c>
      <c r="C30" s="36"/>
      <c r="D30" s="30"/>
      <c r="E30" s="37"/>
      <c r="F30" s="45"/>
      <c r="G30" s="33"/>
      <c r="H30" s="34"/>
      <c r="I30" s="35"/>
      <c r="J30" s="27"/>
      <c r="K30" s="27"/>
      <c r="L30" s="27"/>
      <c r="M30" s="27"/>
      <c r="N30" s="27"/>
      <c r="O30" s="27"/>
      <c r="P30" s="27"/>
      <c r="Q30" s="27"/>
      <c r="R30" s="27"/>
      <c r="S30" s="27"/>
      <c r="T30" s="27"/>
      <c r="U30" s="27"/>
      <c r="V30" s="27"/>
      <c r="W30" s="27"/>
      <c r="X30" s="27"/>
      <c r="Y30" s="27"/>
      <c r="Z30" s="27"/>
    </row>
    <row r="31" ht="13.5" customHeight="1">
      <c r="A31" s="27"/>
      <c r="B31" s="28"/>
      <c r="C31" s="36"/>
      <c r="D31" s="30"/>
      <c r="E31" s="37"/>
      <c r="F31" s="45"/>
      <c r="G31" s="33"/>
      <c r="H31" s="34"/>
      <c r="I31" s="35"/>
      <c r="J31" s="27"/>
      <c r="K31" s="27"/>
      <c r="L31" s="27"/>
      <c r="M31" s="27"/>
      <c r="N31" s="27"/>
      <c r="O31" s="27"/>
      <c r="P31" s="27"/>
      <c r="Q31" s="27"/>
      <c r="R31" s="27"/>
      <c r="S31" s="27"/>
      <c r="T31" s="27"/>
      <c r="U31" s="27"/>
      <c r="V31" s="27"/>
      <c r="W31" s="27"/>
      <c r="X31" s="27"/>
      <c r="Y31" s="27"/>
      <c r="Z31" s="27"/>
    </row>
    <row r="32" ht="13.5" customHeight="1">
      <c r="A32" s="27"/>
      <c r="B32" s="28"/>
      <c r="C32" s="36"/>
      <c r="D32" s="30"/>
      <c r="E32" s="37"/>
      <c r="F32" s="45"/>
      <c r="G32" s="33"/>
      <c r="H32" s="34"/>
      <c r="I32" s="35"/>
      <c r="J32" s="27"/>
      <c r="K32" s="27"/>
      <c r="L32" s="27"/>
      <c r="M32" s="27"/>
      <c r="N32" s="27"/>
      <c r="O32" s="27"/>
      <c r="P32" s="27"/>
      <c r="Q32" s="27"/>
      <c r="R32" s="27"/>
      <c r="S32" s="27"/>
      <c r="T32" s="27"/>
      <c r="U32" s="27"/>
      <c r="V32" s="27"/>
      <c r="W32" s="27"/>
      <c r="X32" s="27"/>
      <c r="Y32" s="27"/>
      <c r="Z32" s="27"/>
    </row>
    <row r="33" ht="13.5" customHeight="1">
      <c r="A33" s="27"/>
      <c r="B33" s="28"/>
      <c r="C33" s="36"/>
      <c r="D33" s="30"/>
      <c r="E33" s="37"/>
      <c r="F33" s="45"/>
      <c r="G33" s="33"/>
      <c r="H33" s="34"/>
      <c r="I33" s="35"/>
      <c r="J33" s="27"/>
      <c r="K33" s="27"/>
      <c r="L33" s="27"/>
      <c r="M33" s="27"/>
      <c r="N33" s="27"/>
      <c r="O33" s="27"/>
      <c r="P33" s="27"/>
      <c r="Q33" s="27"/>
      <c r="R33" s="27"/>
      <c r="S33" s="27"/>
      <c r="T33" s="27"/>
      <c r="U33" s="27"/>
      <c r="V33" s="27"/>
      <c r="W33" s="27"/>
      <c r="X33" s="27"/>
      <c r="Y33" s="27"/>
      <c r="Z33" s="27"/>
    </row>
    <row r="34" ht="13.5" customHeight="1">
      <c r="A34" s="27"/>
      <c r="B34" s="28"/>
      <c r="C34" s="36"/>
      <c r="D34" s="30"/>
      <c r="E34" s="37"/>
      <c r="F34" s="45"/>
      <c r="G34" s="33"/>
      <c r="H34" s="34"/>
      <c r="I34" s="35"/>
      <c r="J34" s="27"/>
      <c r="K34" s="27"/>
      <c r="L34" s="27"/>
      <c r="M34" s="27"/>
      <c r="N34" s="27"/>
      <c r="O34" s="27"/>
      <c r="P34" s="27"/>
      <c r="Q34" s="27"/>
      <c r="R34" s="27"/>
      <c r="S34" s="27"/>
      <c r="T34" s="27"/>
      <c r="U34" s="27"/>
      <c r="V34" s="27"/>
      <c r="W34" s="27"/>
      <c r="X34" s="27"/>
      <c r="Y34" s="27"/>
      <c r="Z34" s="27"/>
    </row>
    <row r="35" ht="16.5" customHeight="1">
      <c r="A35" s="12"/>
      <c r="B35" s="42"/>
      <c r="C35" s="5"/>
      <c r="D35" s="42"/>
      <c r="E35" s="5"/>
      <c r="F35" s="47"/>
      <c r="G35" s="33"/>
      <c r="H35" s="34"/>
      <c r="I35" s="21"/>
      <c r="J35" s="12"/>
      <c r="K35" s="12"/>
      <c r="L35" s="12"/>
      <c r="M35" s="12"/>
      <c r="N35" s="12"/>
      <c r="O35" s="12"/>
      <c r="P35" s="12"/>
      <c r="Q35" s="12"/>
      <c r="R35" s="12"/>
      <c r="S35" s="12"/>
      <c r="T35" s="12"/>
      <c r="U35" s="12"/>
      <c r="V35" s="12"/>
      <c r="W35" s="12"/>
      <c r="X35" s="12"/>
      <c r="Y35" s="12"/>
      <c r="Z35" s="12"/>
    </row>
    <row r="36" ht="13.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3.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3.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3.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3.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3.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3.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3.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3.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3.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3.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3.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3.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3.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3.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3.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3.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3.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3.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3.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3.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3.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3.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3.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3.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3.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3.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3.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3.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3.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3.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3.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3.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3.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3.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3.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3.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3.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3.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3.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3.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3.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3.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3.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3.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3.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3.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3.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3.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3.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3.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3.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3.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3.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3.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3.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3.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3.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3.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3.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3.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3.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3.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3.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3.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3.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3.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3.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3.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3.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3.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3.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3.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3.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3.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3.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3.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3.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3.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3.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3.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3.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3.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3.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3.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3.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3.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3.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3.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3.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3.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3.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3.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3.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3.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3.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3.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3.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3.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3.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3.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3.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3.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3.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3.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3.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3.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3.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3.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3.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3.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3.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3.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3.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3.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3.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3.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3.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3.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3.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3.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3.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3.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3.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3.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3.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3.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3.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3.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3.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3.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3.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3.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3.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3.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3.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3.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3.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3.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3.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3.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3.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3.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3.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3.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3.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3.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3.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3.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3.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3.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3.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3.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3.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3.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3.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3.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3.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3.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3.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3.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3.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3.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3.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3.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3.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3.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3.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3.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3.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3.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3.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3.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3.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3.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3.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3.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3.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3.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3.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3.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3.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3.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3.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3.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3.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3.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3.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3.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3.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3.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3.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3.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3.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3.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3.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3.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3.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3.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3.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3.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3.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3.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3.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3.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3.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3.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3.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3.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3.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3.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3.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3.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3.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3.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3.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3.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3.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3.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3.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3.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3.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3.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3.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3.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3.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3.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3.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3.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3.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3.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3.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3.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3.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3.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3.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3.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3.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3.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3.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3.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3.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3.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3.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3.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3.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3.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3.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3.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3.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3.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3.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3.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3.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3.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3.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3.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3.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3.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3.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3.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3.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3.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3.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3.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3.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3.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3.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3.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3.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3.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3.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3.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3.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3.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3.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3.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3.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3.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3.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3.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3.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3.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3.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3.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3.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3.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3.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3.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3.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3.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3.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3.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3.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3.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3.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3.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3.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3.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3.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3.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3.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3.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3.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3.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3.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3.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3.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3.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3.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3.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3.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3.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3.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3.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3.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3.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3.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3.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3.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3.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3.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3.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3.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3.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3.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3.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3.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3.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3.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3.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3.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3.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3.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3.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3.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3.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3.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3.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3.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3.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3.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3.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3.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3.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3.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3.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3.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3.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3.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3.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3.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3.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3.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3.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3.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3.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3.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3.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3.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3.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3.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3.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3.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3.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3.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3.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3.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3.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3.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3.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3.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3.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3.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3.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3.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3.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3.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3.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3.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3.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3.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3.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3.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3.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3.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3.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3.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3.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3.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3.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3.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3.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3.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3.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3.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3.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3.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3.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3.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3.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3.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3.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3.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3.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3.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3.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3.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3.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3.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3.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3.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3.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3.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3.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3.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3.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3.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3.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3.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3.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3.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3.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3.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3.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3.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3.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3.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3.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3.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3.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3.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3.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3.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3.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3.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3.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3.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3.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3.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3.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3.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3.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3.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3.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3.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3.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3.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3.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3.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3.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3.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3.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3.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3.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3.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3.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3.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3.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3.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3.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3.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3.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3.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3.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3.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3.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3.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3.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3.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3.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3.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3.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3.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3.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3.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3.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3.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3.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3.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3.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3.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3.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3.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3.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3.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3.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3.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3.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3.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3.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3.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3.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3.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3.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3.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3.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3.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3.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3.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3.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3.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3.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3.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3.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3.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3.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3.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3.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3.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3.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3.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3.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3.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3.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3.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3.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3.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3.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3.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3.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3.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3.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3.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3.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3.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3.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3.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3.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3.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3.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3.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3.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3.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3.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3.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3.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3.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3.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3.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3.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3.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3.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3.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3.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3.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3.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3.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3.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3.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3.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3.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3.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3.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3.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3.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3.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3.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3.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3.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3.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3.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3.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3.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3.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3.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3.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3.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3.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3.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3.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3.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3.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3.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3.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3.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3.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3.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3.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3.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3.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3.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3.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3.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3.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3.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3.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3.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3.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3.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3.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3.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3.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3.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3.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3.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3.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3.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3.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3.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3.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3.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3.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3.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3.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3.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3.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3.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3.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3.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3.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3.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3.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3.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3.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3.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3.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3.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3.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3.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3.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3.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3.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3.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3.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3.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3.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3.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3.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3.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3.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3.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3.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3.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3.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3.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3.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3.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3.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3.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3.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3.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3.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3.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3.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3.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3.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3.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3.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3.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3.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3.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3.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3.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3.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3.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3.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3.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3.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3.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3.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3.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3.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3.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3.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3.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3.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3.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3.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3.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3.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3.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3.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3.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3.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3.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3.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3.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3.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3.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3.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3.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3.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3.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3.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3.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3.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3.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3.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3.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3.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3.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3.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3.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3.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3.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3.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3.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3.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3.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3.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3.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3.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3.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3.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3.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3.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3.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3.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3.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3.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3.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3.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3.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3.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3.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3.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3.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3.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3.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3.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3.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3.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3.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3.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3.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3.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3.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3.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3.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3.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3.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3.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3.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3.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3.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3.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3.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3.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3.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3.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3.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3.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3.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3.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3.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3.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3.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3.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3.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3.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3.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3.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3.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3.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3.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3.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3.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3.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3.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3.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3.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3.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3.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3.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3.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3.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3.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3.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3.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3.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3.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3.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3.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3.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3.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3.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3.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3.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3.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3.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3.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3.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3.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3.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3.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3.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3.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3.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3.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3.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3.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3.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3.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3.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3.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3.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3.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3.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3.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3.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3.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3.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3.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3.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3.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3.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3.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3.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3.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3.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3.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3.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3.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3.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3.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3.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3.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3.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3.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3.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3.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3.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3.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3.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3.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3.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3.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3.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3.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3.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3.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3.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3.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3.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3.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3.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3.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3.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3.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3.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3.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3.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3.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3.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3.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3.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3.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3.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3.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3.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3.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3.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3.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3.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3.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3.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3.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3.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3.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3.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3.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3.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3.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3.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3.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3.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3.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3.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3.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3.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3.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3.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3.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3.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3.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3.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3.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3.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3.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3.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3.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3.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3.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3.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3.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3.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3.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3.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3.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3.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3.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3.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3.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3.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3.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3.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3.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3.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3.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3.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3.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3.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3.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3.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3.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3.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3.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3.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3.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3.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3.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3.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3.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3.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3.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3.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3.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3.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3.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3.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3.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3.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3.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3.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3.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3.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3.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3.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3.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3.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3.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3.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3.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3.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3.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3.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3.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3.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3.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3.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3.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3.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3.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3.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3.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3.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3.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3.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3.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3.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3.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3.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3.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3.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3.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3.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3.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3.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3.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3.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3.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3.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3.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3.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8">
    <mergeCell ref="B2:F2"/>
    <mergeCell ref="B4:C5"/>
    <mergeCell ref="D4:D5"/>
    <mergeCell ref="E4:E5"/>
    <mergeCell ref="F4:F5"/>
    <mergeCell ref="G4:H4"/>
    <mergeCell ref="B35:C35"/>
    <mergeCell ref="D35:E35"/>
  </mergeCells>
  <dataValidations>
    <dataValidation type="list" allowBlank="1" showErrorMessage="1" sqref="E6:E34">
      <formula1>List_1</formula1>
    </dataValidation>
    <dataValidation type="list" allowBlank="1" showErrorMessage="1" sqref="D6:D34">
      <formula1>List_2</formula1>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sheetViews>
  <sheetFormatPr customHeight="1" defaultColWidth="14.43" defaultRowHeight="15.0"/>
  <cols>
    <col customWidth="1" min="1" max="1" width="2.86"/>
    <col customWidth="1" min="2" max="2" width="7.43"/>
    <col customWidth="1" min="3" max="3" width="60.71"/>
    <col customWidth="1" min="4" max="4" width="18.86"/>
    <col customWidth="1" min="5" max="5" width="19.86"/>
    <col customWidth="1" min="6" max="6" width="41.43"/>
    <col customWidth="1" min="7" max="8" width="24.71"/>
    <col customWidth="1" min="9" max="26" width="9.14"/>
  </cols>
  <sheetData>
    <row r="1" ht="15.0"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ht="33.75" customHeight="1">
      <c r="A2" s="12"/>
      <c r="B2" s="13" t="s">
        <v>218</v>
      </c>
      <c r="C2" s="14"/>
      <c r="D2" s="14"/>
      <c r="E2" s="14"/>
      <c r="F2" s="5"/>
      <c r="G2" s="12"/>
      <c r="H2" s="12"/>
      <c r="I2" s="12"/>
      <c r="J2" s="12"/>
      <c r="K2" s="12"/>
      <c r="L2" s="12"/>
      <c r="M2" s="12"/>
      <c r="N2" s="12"/>
      <c r="O2" s="12"/>
      <c r="P2" s="12"/>
      <c r="Q2" s="12"/>
      <c r="R2" s="12"/>
      <c r="S2" s="12"/>
      <c r="T2" s="12"/>
      <c r="U2" s="12"/>
      <c r="V2" s="12"/>
      <c r="W2" s="12"/>
      <c r="X2" s="12"/>
      <c r="Y2" s="12"/>
      <c r="Z2" s="12"/>
    </row>
    <row r="3" ht="13.5" customHeight="1">
      <c r="A3" s="12"/>
      <c r="B3" s="12"/>
      <c r="C3" s="12"/>
      <c r="D3" s="12"/>
      <c r="E3" s="12"/>
      <c r="F3" s="12"/>
      <c r="G3" s="12"/>
      <c r="H3" s="12"/>
      <c r="I3" s="12"/>
      <c r="J3" s="12"/>
      <c r="K3" s="12"/>
      <c r="L3" s="12"/>
      <c r="M3" s="12"/>
      <c r="N3" s="12"/>
      <c r="O3" s="12"/>
      <c r="P3" s="12"/>
      <c r="Q3" s="12"/>
      <c r="R3" s="12"/>
      <c r="S3" s="12"/>
      <c r="T3" s="12"/>
      <c r="U3" s="12"/>
      <c r="V3" s="12"/>
      <c r="W3" s="12"/>
      <c r="X3" s="12"/>
      <c r="Y3" s="12"/>
      <c r="Z3" s="12"/>
    </row>
    <row r="4" ht="25.5" customHeight="1">
      <c r="A4" s="12"/>
      <c r="B4" s="16" t="s">
        <v>218</v>
      </c>
      <c r="C4" s="17"/>
      <c r="D4" s="18" t="s">
        <v>219</v>
      </c>
      <c r="E4" s="18" t="s">
        <v>220</v>
      </c>
      <c r="F4" s="18" t="s">
        <v>79</v>
      </c>
      <c r="G4" s="19"/>
      <c r="H4" s="20"/>
      <c r="I4" s="21"/>
      <c r="J4" s="12"/>
      <c r="K4" s="12"/>
      <c r="L4" s="12"/>
      <c r="M4" s="12"/>
      <c r="N4" s="12"/>
      <c r="O4" s="12"/>
      <c r="P4" s="12"/>
      <c r="Q4" s="12"/>
      <c r="R4" s="12"/>
      <c r="S4" s="12"/>
      <c r="T4" s="12"/>
      <c r="U4" s="12"/>
      <c r="V4" s="12"/>
      <c r="W4" s="12"/>
      <c r="X4" s="12"/>
      <c r="Y4" s="12"/>
      <c r="Z4" s="12"/>
    </row>
    <row r="5" ht="63.0" customHeight="1">
      <c r="A5" s="12"/>
      <c r="B5" s="22"/>
      <c r="C5" s="23"/>
      <c r="D5" s="24"/>
      <c r="E5" s="24"/>
      <c r="F5" s="24"/>
      <c r="G5" s="25"/>
      <c r="H5" s="26"/>
      <c r="I5" s="21"/>
      <c r="J5" s="12"/>
      <c r="K5" s="12"/>
      <c r="L5" s="12"/>
      <c r="M5" s="12"/>
      <c r="N5" s="12"/>
      <c r="O5" s="12"/>
      <c r="P5" s="12"/>
      <c r="Q5" s="12"/>
      <c r="R5" s="12"/>
      <c r="S5" s="12"/>
      <c r="T5" s="12"/>
      <c r="U5" s="12"/>
      <c r="V5" s="12"/>
      <c r="W5" s="12"/>
      <c r="X5" s="12"/>
      <c r="Y5" s="12"/>
      <c r="Z5" s="12"/>
    </row>
    <row r="6" ht="13.5" customHeight="1">
      <c r="A6" s="27"/>
      <c r="B6" s="36">
        <v>1.0</v>
      </c>
      <c r="C6" s="36" t="s">
        <v>221</v>
      </c>
      <c r="D6" s="30"/>
      <c r="E6" s="31" t="s">
        <v>119</v>
      </c>
      <c r="F6" s="32"/>
      <c r="G6" s="33"/>
      <c r="H6" s="34"/>
      <c r="I6" s="35"/>
      <c r="J6" s="27"/>
      <c r="K6" s="27"/>
      <c r="L6" s="27"/>
      <c r="M6" s="27"/>
      <c r="N6" s="27"/>
      <c r="O6" s="27"/>
      <c r="P6" s="27"/>
      <c r="Q6" s="27"/>
      <c r="R6" s="27"/>
      <c r="S6" s="27"/>
      <c r="T6" s="27"/>
      <c r="U6" s="27"/>
      <c r="V6" s="27"/>
      <c r="W6" s="27"/>
      <c r="X6" s="27"/>
      <c r="Y6" s="27"/>
      <c r="Z6" s="27"/>
    </row>
    <row r="7" ht="13.5" customHeight="1">
      <c r="A7" s="27"/>
      <c r="B7" s="28">
        <v>2.0</v>
      </c>
      <c r="C7" s="36" t="s">
        <v>222</v>
      </c>
      <c r="D7" s="30"/>
      <c r="E7" s="31" t="s">
        <v>82</v>
      </c>
      <c r="F7" s="32"/>
      <c r="G7" s="33"/>
      <c r="H7" s="34"/>
      <c r="I7" s="35"/>
      <c r="J7" s="27"/>
      <c r="K7" s="27"/>
      <c r="L7" s="27"/>
      <c r="M7" s="27"/>
      <c r="N7" s="27"/>
      <c r="O7" s="27"/>
      <c r="P7" s="27"/>
      <c r="Q7" s="27"/>
      <c r="R7" s="27"/>
      <c r="S7" s="27"/>
      <c r="T7" s="27"/>
      <c r="U7" s="27"/>
      <c r="V7" s="27"/>
      <c r="W7" s="27"/>
      <c r="X7" s="27"/>
      <c r="Y7" s="27"/>
      <c r="Z7" s="27"/>
    </row>
    <row r="8" ht="13.5" customHeight="1">
      <c r="A8" s="27"/>
      <c r="B8" s="28">
        <v>3.0</v>
      </c>
      <c r="C8" s="36" t="s">
        <v>223</v>
      </c>
      <c r="D8" s="30"/>
      <c r="E8" s="31" t="s">
        <v>119</v>
      </c>
      <c r="F8" s="48"/>
      <c r="G8" s="33"/>
      <c r="H8" s="34"/>
      <c r="I8" s="35"/>
      <c r="J8" s="27"/>
      <c r="K8" s="27"/>
      <c r="L8" s="27"/>
      <c r="M8" s="27"/>
      <c r="N8" s="27"/>
      <c r="O8" s="27"/>
      <c r="P8" s="27"/>
      <c r="Q8" s="27"/>
      <c r="R8" s="27"/>
      <c r="S8" s="27"/>
      <c r="T8" s="27"/>
      <c r="U8" s="27"/>
      <c r="V8" s="27"/>
      <c r="W8" s="27"/>
      <c r="X8" s="27"/>
      <c r="Y8" s="27"/>
      <c r="Z8" s="27"/>
    </row>
    <row r="9" ht="13.5" customHeight="1">
      <c r="A9" s="27"/>
      <c r="B9" s="28">
        <v>4.0</v>
      </c>
      <c r="C9" s="36" t="s">
        <v>224</v>
      </c>
      <c r="D9" s="30"/>
      <c r="E9" s="31" t="s">
        <v>119</v>
      </c>
      <c r="F9" s="32"/>
      <c r="G9" s="33"/>
      <c r="H9" s="34"/>
      <c r="I9" s="35"/>
      <c r="J9" s="27"/>
      <c r="K9" s="27"/>
      <c r="L9" s="27"/>
      <c r="M9" s="27"/>
      <c r="N9" s="27"/>
      <c r="O9" s="27"/>
      <c r="P9" s="27"/>
      <c r="Q9" s="27"/>
      <c r="R9" s="27"/>
      <c r="S9" s="27"/>
      <c r="T9" s="27"/>
      <c r="U9" s="27"/>
      <c r="V9" s="27"/>
      <c r="W9" s="27"/>
      <c r="X9" s="27"/>
      <c r="Y9" s="27"/>
      <c r="Z9" s="27"/>
    </row>
    <row r="10" ht="13.5" customHeight="1">
      <c r="A10" s="27"/>
      <c r="B10" s="28">
        <v>5.0</v>
      </c>
      <c r="C10" s="36" t="s">
        <v>225</v>
      </c>
      <c r="D10" s="30"/>
      <c r="E10" s="31" t="s">
        <v>119</v>
      </c>
      <c r="F10" s="49" t="s">
        <v>226</v>
      </c>
      <c r="G10" s="33"/>
      <c r="H10" s="34"/>
      <c r="I10" s="35"/>
      <c r="J10" s="27"/>
      <c r="K10" s="27"/>
      <c r="L10" s="27"/>
      <c r="M10" s="27"/>
      <c r="N10" s="27"/>
      <c r="O10" s="27"/>
      <c r="P10" s="27"/>
      <c r="Q10" s="27"/>
      <c r="R10" s="27"/>
      <c r="S10" s="27"/>
      <c r="T10" s="27"/>
      <c r="U10" s="27"/>
      <c r="V10" s="27"/>
      <c r="W10" s="27"/>
      <c r="X10" s="27"/>
      <c r="Y10" s="27"/>
      <c r="Z10" s="27"/>
    </row>
    <row r="11" ht="13.5" customHeight="1">
      <c r="A11" s="27"/>
      <c r="B11" s="28">
        <v>6.0</v>
      </c>
      <c r="C11" s="36" t="s">
        <v>227</v>
      </c>
      <c r="D11" s="30"/>
      <c r="E11" s="31" t="s">
        <v>119</v>
      </c>
      <c r="F11" s="32"/>
      <c r="G11" s="33"/>
      <c r="H11" s="34"/>
      <c r="I11" s="35"/>
      <c r="J11" s="27"/>
      <c r="K11" s="27"/>
      <c r="L11" s="27"/>
      <c r="M11" s="27"/>
      <c r="N11" s="27"/>
      <c r="O11" s="27"/>
      <c r="P11" s="27"/>
      <c r="Q11" s="27"/>
      <c r="R11" s="27"/>
      <c r="S11" s="27"/>
      <c r="T11" s="27"/>
      <c r="U11" s="27"/>
      <c r="V11" s="27"/>
      <c r="W11" s="27"/>
      <c r="X11" s="27"/>
      <c r="Y11" s="27"/>
      <c r="Z11" s="27"/>
    </row>
    <row r="12" ht="13.5" customHeight="1">
      <c r="A12" s="27"/>
      <c r="B12" s="28">
        <v>7.0</v>
      </c>
      <c r="C12" s="36" t="s">
        <v>228</v>
      </c>
      <c r="D12" s="30"/>
      <c r="E12" s="31" t="s">
        <v>119</v>
      </c>
      <c r="F12" s="32"/>
      <c r="G12" s="33"/>
      <c r="H12" s="34"/>
      <c r="I12" s="35"/>
      <c r="J12" s="27"/>
      <c r="K12" s="27"/>
      <c r="L12" s="27"/>
      <c r="M12" s="27"/>
      <c r="N12" s="27"/>
      <c r="O12" s="27"/>
      <c r="P12" s="27"/>
      <c r="Q12" s="27"/>
      <c r="R12" s="27"/>
      <c r="S12" s="27"/>
      <c r="T12" s="27"/>
      <c r="U12" s="27"/>
      <c r="V12" s="27"/>
      <c r="W12" s="27"/>
      <c r="X12" s="27"/>
      <c r="Y12" s="27"/>
      <c r="Z12" s="27"/>
    </row>
    <row r="13" ht="13.5" customHeight="1">
      <c r="A13" s="27"/>
      <c r="B13" s="28">
        <v>8.0</v>
      </c>
      <c r="C13" s="36" t="s">
        <v>229</v>
      </c>
      <c r="D13" s="30" t="s">
        <v>81</v>
      </c>
      <c r="E13" s="31" t="s">
        <v>119</v>
      </c>
      <c r="F13" s="32"/>
      <c r="G13" s="33"/>
      <c r="H13" s="34"/>
      <c r="I13" s="35"/>
      <c r="J13" s="27"/>
      <c r="K13" s="27"/>
      <c r="L13" s="27"/>
      <c r="M13" s="27"/>
      <c r="N13" s="27"/>
      <c r="O13" s="27"/>
      <c r="P13" s="27"/>
      <c r="Q13" s="27"/>
      <c r="R13" s="27"/>
      <c r="S13" s="27"/>
      <c r="T13" s="27"/>
      <c r="U13" s="27"/>
      <c r="V13" s="27"/>
      <c r="W13" s="27"/>
      <c r="X13" s="27"/>
      <c r="Y13" s="27"/>
      <c r="Z13" s="27"/>
    </row>
    <row r="14" ht="13.5" customHeight="1">
      <c r="A14" s="27"/>
      <c r="B14" s="28">
        <v>9.0</v>
      </c>
      <c r="C14" s="36" t="s">
        <v>230</v>
      </c>
      <c r="D14" s="30"/>
      <c r="E14" s="31" t="s">
        <v>119</v>
      </c>
      <c r="F14" s="32"/>
      <c r="G14" s="33"/>
      <c r="H14" s="34"/>
      <c r="I14" s="35"/>
      <c r="J14" s="27"/>
      <c r="K14" s="27"/>
      <c r="L14" s="27"/>
      <c r="M14" s="27"/>
      <c r="N14" s="27"/>
      <c r="O14" s="27"/>
      <c r="P14" s="27"/>
      <c r="Q14" s="27"/>
      <c r="R14" s="27"/>
      <c r="S14" s="27"/>
      <c r="T14" s="27"/>
      <c r="U14" s="27"/>
      <c r="V14" s="27"/>
      <c r="W14" s="27"/>
      <c r="X14" s="27"/>
      <c r="Y14" s="27"/>
      <c r="Z14" s="27"/>
    </row>
    <row r="15" ht="13.5" customHeight="1">
      <c r="A15" s="27"/>
      <c r="B15" s="28">
        <v>10.0</v>
      </c>
      <c r="C15" s="36" t="s">
        <v>231</v>
      </c>
      <c r="D15" s="30"/>
      <c r="E15" s="31" t="s">
        <v>119</v>
      </c>
      <c r="F15" s="32"/>
      <c r="G15" s="33"/>
      <c r="H15" s="34"/>
      <c r="I15" s="35"/>
      <c r="J15" s="27"/>
      <c r="K15" s="27"/>
      <c r="L15" s="27"/>
      <c r="M15" s="27"/>
      <c r="N15" s="27"/>
      <c r="O15" s="27"/>
      <c r="P15" s="27"/>
      <c r="Q15" s="27"/>
      <c r="R15" s="27"/>
      <c r="S15" s="27"/>
      <c r="T15" s="27"/>
      <c r="U15" s="27"/>
      <c r="V15" s="27"/>
      <c r="W15" s="27"/>
      <c r="X15" s="27"/>
      <c r="Y15" s="27"/>
      <c r="Z15" s="27"/>
    </row>
    <row r="16" ht="13.5" customHeight="1">
      <c r="A16" s="27"/>
      <c r="B16" s="28">
        <v>11.0</v>
      </c>
      <c r="C16" s="36" t="s">
        <v>232</v>
      </c>
      <c r="D16" s="30"/>
      <c r="E16" s="31" t="s">
        <v>119</v>
      </c>
      <c r="F16" s="32"/>
      <c r="G16" s="33"/>
      <c r="H16" s="34"/>
      <c r="I16" s="35"/>
      <c r="J16" s="27"/>
      <c r="K16" s="27"/>
      <c r="L16" s="27"/>
      <c r="M16" s="27"/>
      <c r="N16" s="27"/>
      <c r="O16" s="27"/>
      <c r="P16" s="27"/>
      <c r="Q16" s="27"/>
      <c r="R16" s="27"/>
      <c r="S16" s="27"/>
      <c r="T16" s="27"/>
      <c r="U16" s="27"/>
      <c r="V16" s="27"/>
      <c r="W16" s="27"/>
      <c r="X16" s="27"/>
      <c r="Y16" s="27"/>
      <c r="Z16" s="27"/>
    </row>
    <row r="17" ht="13.5" customHeight="1">
      <c r="A17" s="27"/>
      <c r="B17" s="28">
        <v>12.0</v>
      </c>
      <c r="C17" s="36" t="s">
        <v>233</v>
      </c>
      <c r="D17" s="30"/>
      <c r="E17" s="31" t="s">
        <v>119</v>
      </c>
      <c r="F17" s="49"/>
      <c r="G17" s="33"/>
      <c r="H17" s="34"/>
      <c r="I17" s="35"/>
      <c r="J17" s="27"/>
      <c r="K17" s="27"/>
      <c r="L17" s="27"/>
      <c r="M17" s="27"/>
      <c r="N17" s="27"/>
      <c r="O17" s="27"/>
      <c r="P17" s="27"/>
      <c r="Q17" s="27"/>
      <c r="R17" s="27"/>
      <c r="S17" s="27"/>
      <c r="T17" s="27"/>
      <c r="U17" s="27"/>
      <c r="V17" s="27"/>
      <c r="W17" s="27"/>
      <c r="X17" s="27"/>
      <c r="Y17" s="27"/>
      <c r="Z17" s="27"/>
    </row>
    <row r="18" ht="13.5" customHeight="1">
      <c r="A18" s="27"/>
      <c r="B18" s="28">
        <v>13.0</v>
      </c>
      <c r="C18" s="36" t="s">
        <v>234</v>
      </c>
      <c r="D18" s="30"/>
      <c r="E18" s="31" t="s">
        <v>82</v>
      </c>
      <c r="F18" s="49"/>
      <c r="G18" s="33"/>
      <c r="H18" s="34"/>
      <c r="I18" s="35"/>
      <c r="J18" s="27"/>
      <c r="K18" s="27"/>
      <c r="L18" s="27"/>
      <c r="M18" s="27"/>
      <c r="N18" s="27"/>
      <c r="O18" s="27"/>
      <c r="P18" s="27"/>
      <c r="Q18" s="27"/>
      <c r="R18" s="27"/>
      <c r="S18" s="27"/>
      <c r="T18" s="27"/>
      <c r="U18" s="27"/>
      <c r="V18" s="27"/>
      <c r="W18" s="27"/>
      <c r="X18" s="27"/>
      <c r="Y18" s="27"/>
      <c r="Z18" s="27"/>
    </row>
    <row r="19" ht="13.5" customHeight="1">
      <c r="A19" s="27"/>
      <c r="B19" s="28">
        <v>14.0</v>
      </c>
      <c r="C19" s="36" t="s">
        <v>235</v>
      </c>
      <c r="D19" s="30"/>
      <c r="E19" s="37"/>
      <c r="F19" s="49" t="s">
        <v>236</v>
      </c>
      <c r="G19" s="33"/>
      <c r="H19" s="34"/>
      <c r="I19" s="35"/>
      <c r="J19" s="27"/>
      <c r="K19" s="27"/>
      <c r="L19" s="27"/>
      <c r="M19" s="27"/>
      <c r="N19" s="27"/>
      <c r="O19" s="27"/>
      <c r="P19" s="27"/>
      <c r="Q19" s="27"/>
      <c r="R19" s="27"/>
      <c r="S19" s="27"/>
      <c r="T19" s="27"/>
      <c r="U19" s="27"/>
      <c r="V19" s="27"/>
      <c r="W19" s="27"/>
      <c r="X19" s="27"/>
      <c r="Y19" s="27"/>
      <c r="Z19" s="27"/>
    </row>
    <row r="20" ht="13.5" customHeight="1">
      <c r="A20" s="27"/>
      <c r="B20" s="28">
        <v>15.0</v>
      </c>
      <c r="C20" s="36" t="s">
        <v>237</v>
      </c>
      <c r="D20" s="30"/>
      <c r="E20" s="31" t="s">
        <v>119</v>
      </c>
      <c r="F20" s="32"/>
      <c r="G20" s="33"/>
      <c r="H20" s="34"/>
      <c r="I20" s="35"/>
      <c r="J20" s="27"/>
      <c r="K20" s="27"/>
      <c r="L20" s="27"/>
      <c r="M20" s="27"/>
      <c r="N20" s="27"/>
      <c r="O20" s="27"/>
      <c r="P20" s="27"/>
      <c r="Q20" s="27"/>
      <c r="R20" s="27"/>
      <c r="S20" s="27"/>
      <c r="T20" s="27"/>
      <c r="U20" s="27"/>
      <c r="V20" s="27"/>
      <c r="W20" s="27"/>
      <c r="X20" s="27"/>
      <c r="Y20" s="27"/>
      <c r="Z20" s="27"/>
    </row>
    <row r="21" ht="13.5" customHeight="1">
      <c r="A21" s="27"/>
      <c r="B21" s="28">
        <v>16.0</v>
      </c>
      <c r="C21" s="36" t="s">
        <v>238</v>
      </c>
      <c r="D21" s="30" t="s">
        <v>81</v>
      </c>
      <c r="E21" s="31" t="s">
        <v>119</v>
      </c>
      <c r="F21" s="32"/>
      <c r="G21" s="33"/>
      <c r="H21" s="34"/>
      <c r="I21" s="35"/>
      <c r="J21" s="27"/>
      <c r="K21" s="27"/>
      <c r="L21" s="27"/>
      <c r="M21" s="27"/>
      <c r="N21" s="27"/>
      <c r="O21" s="27"/>
      <c r="P21" s="27"/>
      <c r="Q21" s="27"/>
      <c r="R21" s="27"/>
      <c r="S21" s="27"/>
      <c r="T21" s="27"/>
      <c r="U21" s="27"/>
      <c r="V21" s="27"/>
      <c r="W21" s="27"/>
      <c r="X21" s="27"/>
      <c r="Y21" s="27"/>
      <c r="Z21" s="27"/>
    </row>
    <row r="22" ht="13.5" customHeight="1">
      <c r="A22" s="27"/>
      <c r="B22" s="28">
        <v>17.0</v>
      </c>
      <c r="C22" s="36" t="s">
        <v>239</v>
      </c>
      <c r="D22" s="30" t="s">
        <v>116</v>
      </c>
      <c r="E22" s="31" t="s">
        <v>119</v>
      </c>
      <c r="F22" s="32"/>
      <c r="G22" s="33"/>
      <c r="H22" s="34"/>
      <c r="I22" s="35"/>
      <c r="J22" s="27"/>
      <c r="K22" s="27"/>
      <c r="L22" s="27"/>
      <c r="M22" s="27"/>
      <c r="N22" s="27"/>
      <c r="O22" s="27"/>
      <c r="P22" s="27"/>
      <c r="Q22" s="27"/>
      <c r="R22" s="27"/>
      <c r="S22" s="27"/>
      <c r="T22" s="27"/>
      <c r="U22" s="27"/>
      <c r="V22" s="27"/>
      <c r="W22" s="27"/>
      <c r="X22" s="27"/>
      <c r="Y22" s="27"/>
      <c r="Z22" s="27"/>
    </row>
    <row r="23" ht="13.5" customHeight="1">
      <c r="A23" s="27"/>
      <c r="B23" s="28">
        <v>18.0</v>
      </c>
      <c r="C23" s="36" t="s">
        <v>240</v>
      </c>
      <c r="D23" s="30" t="s">
        <v>81</v>
      </c>
      <c r="E23" s="31" t="s">
        <v>119</v>
      </c>
      <c r="F23" s="32"/>
      <c r="G23" s="33"/>
      <c r="H23" s="34"/>
      <c r="I23" s="35"/>
      <c r="J23" s="27"/>
      <c r="K23" s="27"/>
      <c r="L23" s="27"/>
      <c r="M23" s="27"/>
      <c r="N23" s="27"/>
      <c r="O23" s="27"/>
      <c r="P23" s="27"/>
      <c r="Q23" s="27"/>
      <c r="R23" s="27"/>
      <c r="S23" s="27"/>
      <c r="T23" s="27"/>
      <c r="U23" s="27"/>
      <c r="V23" s="27"/>
      <c r="W23" s="27"/>
      <c r="X23" s="27"/>
      <c r="Y23" s="27"/>
      <c r="Z23" s="27"/>
    </row>
    <row r="24" ht="13.5" customHeight="1">
      <c r="A24" s="27"/>
      <c r="B24" s="28">
        <v>19.0</v>
      </c>
      <c r="C24" s="36"/>
      <c r="D24" s="30"/>
      <c r="E24" s="37"/>
      <c r="F24" s="32"/>
      <c r="G24" s="33"/>
      <c r="H24" s="34"/>
      <c r="I24" s="35"/>
      <c r="J24" s="27"/>
      <c r="K24" s="27"/>
      <c r="L24" s="27"/>
      <c r="M24" s="27"/>
      <c r="N24" s="27"/>
      <c r="O24" s="27"/>
      <c r="P24" s="27"/>
      <c r="Q24" s="27"/>
      <c r="R24" s="27"/>
      <c r="S24" s="27"/>
      <c r="T24" s="27"/>
      <c r="U24" s="27"/>
      <c r="V24" s="27"/>
      <c r="W24" s="27"/>
      <c r="X24" s="27"/>
      <c r="Y24" s="27"/>
      <c r="Z24" s="27"/>
    </row>
    <row r="25" ht="13.5" customHeight="1">
      <c r="A25" s="27"/>
      <c r="B25" s="28">
        <v>20.0</v>
      </c>
      <c r="C25" s="36"/>
      <c r="D25" s="30"/>
      <c r="E25" s="37"/>
      <c r="F25" s="32"/>
      <c r="G25" s="33"/>
      <c r="H25" s="34"/>
      <c r="I25" s="35"/>
      <c r="J25" s="27"/>
      <c r="K25" s="27"/>
      <c r="L25" s="27"/>
      <c r="M25" s="27"/>
      <c r="N25" s="27"/>
      <c r="O25" s="27"/>
      <c r="P25" s="27"/>
      <c r="Q25" s="27"/>
      <c r="R25" s="27"/>
      <c r="S25" s="27"/>
      <c r="T25" s="27"/>
      <c r="U25" s="27"/>
      <c r="V25" s="27"/>
      <c r="W25" s="27"/>
      <c r="X25" s="27"/>
      <c r="Y25" s="27"/>
      <c r="Z25" s="27"/>
    </row>
    <row r="26" ht="13.5" customHeight="1">
      <c r="A26" s="27"/>
      <c r="B26" s="28">
        <v>21.0</v>
      </c>
      <c r="C26" s="36"/>
      <c r="D26" s="30"/>
      <c r="E26" s="37"/>
      <c r="F26" s="32"/>
      <c r="G26" s="33"/>
      <c r="H26" s="34"/>
      <c r="I26" s="35"/>
      <c r="J26" s="27"/>
      <c r="K26" s="27"/>
      <c r="L26" s="27"/>
      <c r="M26" s="27"/>
      <c r="N26" s="27"/>
      <c r="O26" s="27"/>
      <c r="P26" s="27"/>
      <c r="Q26" s="27"/>
      <c r="R26" s="27"/>
      <c r="S26" s="27"/>
      <c r="T26" s="27"/>
      <c r="U26" s="27"/>
      <c r="V26" s="27"/>
      <c r="W26" s="27"/>
      <c r="X26" s="27"/>
      <c r="Y26" s="27"/>
      <c r="Z26" s="27"/>
    </row>
    <row r="27" ht="13.5" customHeight="1">
      <c r="A27" s="27"/>
      <c r="B27" s="28">
        <v>22.0</v>
      </c>
      <c r="C27" s="36"/>
      <c r="D27" s="30"/>
      <c r="E27" s="37"/>
      <c r="F27" s="32"/>
      <c r="G27" s="33"/>
      <c r="H27" s="34"/>
      <c r="I27" s="35"/>
      <c r="J27" s="27"/>
      <c r="K27" s="27"/>
      <c r="L27" s="27"/>
      <c r="M27" s="27"/>
      <c r="N27" s="27"/>
      <c r="O27" s="27"/>
      <c r="P27" s="27"/>
      <c r="Q27" s="27"/>
      <c r="R27" s="27"/>
      <c r="S27" s="27"/>
      <c r="T27" s="27"/>
      <c r="U27" s="27"/>
      <c r="V27" s="27"/>
      <c r="W27" s="27"/>
      <c r="X27" s="27"/>
      <c r="Y27" s="27"/>
      <c r="Z27" s="27"/>
    </row>
    <row r="28" ht="13.5" customHeight="1">
      <c r="A28" s="27"/>
      <c r="B28" s="28">
        <v>23.0</v>
      </c>
      <c r="C28" s="36"/>
      <c r="D28" s="30"/>
      <c r="E28" s="37"/>
      <c r="F28" s="32"/>
      <c r="G28" s="33"/>
      <c r="H28" s="34"/>
      <c r="I28" s="35"/>
      <c r="J28" s="27"/>
      <c r="K28" s="27"/>
      <c r="L28" s="27"/>
      <c r="M28" s="27"/>
      <c r="N28" s="27"/>
      <c r="O28" s="27"/>
      <c r="P28" s="27"/>
      <c r="Q28" s="27"/>
      <c r="R28" s="27"/>
      <c r="S28" s="27"/>
      <c r="T28" s="27"/>
      <c r="U28" s="27"/>
      <c r="V28" s="27"/>
      <c r="W28" s="27"/>
      <c r="X28" s="27"/>
      <c r="Y28" s="27"/>
      <c r="Z28" s="27"/>
    </row>
    <row r="29" ht="13.5" customHeight="1">
      <c r="A29" s="27"/>
      <c r="B29" s="28">
        <v>24.0</v>
      </c>
      <c r="C29" s="36"/>
      <c r="D29" s="30"/>
      <c r="E29" s="37"/>
      <c r="F29" s="32"/>
      <c r="G29" s="33"/>
      <c r="H29" s="34"/>
      <c r="I29" s="35"/>
      <c r="J29" s="27"/>
      <c r="K29" s="27"/>
      <c r="L29" s="27"/>
      <c r="M29" s="27"/>
      <c r="N29" s="27"/>
      <c r="O29" s="27"/>
      <c r="P29" s="27"/>
      <c r="Q29" s="27"/>
      <c r="R29" s="27"/>
      <c r="S29" s="27"/>
      <c r="T29" s="27"/>
      <c r="U29" s="27"/>
      <c r="V29" s="27"/>
      <c r="W29" s="27"/>
      <c r="X29" s="27"/>
      <c r="Y29" s="27"/>
      <c r="Z29" s="27"/>
    </row>
    <row r="30" ht="13.5" customHeight="1">
      <c r="A30" s="27"/>
      <c r="B30" s="28">
        <v>25.0</v>
      </c>
      <c r="C30" s="36"/>
      <c r="D30" s="30"/>
      <c r="E30" s="37"/>
      <c r="F30" s="32"/>
      <c r="G30" s="33"/>
      <c r="H30" s="34"/>
      <c r="I30" s="35"/>
      <c r="J30" s="27"/>
      <c r="K30" s="27"/>
      <c r="L30" s="27"/>
      <c r="M30" s="27"/>
      <c r="N30" s="27"/>
      <c r="O30" s="27"/>
      <c r="P30" s="27"/>
      <c r="Q30" s="27"/>
      <c r="R30" s="27"/>
      <c r="S30" s="27"/>
      <c r="T30" s="27"/>
      <c r="U30" s="27"/>
      <c r="V30" s="27"/>
      <c r="W30" s="27"/>
      <c r="X30" s="27"/>
      <c r="Y30" s="27"/>
      <c r="Z30" s="27"/>
    </row>
    <row r="31" ht="13.5" customHeight="1">
      <c r="A31" s="27"/>
      <c r="B31" s="28"/>
      <c r="C31" s="36"/>
      <c r="D31" s="30"/>
      <c r="E31" s="37"/>
      <c r="F31" s="32"/>
      <c r="G31" s="33"/>
      <c r="H31" s="34"/>
      <c r="I31" s="35"/>
      <c r="J31" s="27"/>
      <c r="K31" s="27"/>
      <c r="L31" s="27"/>
      <c r="M31" s="27"/>
      <c r="N31" s="27"/>
      <c r="O31" s="27"/>
      <c r="P31" s="27"/>
      <c r="Q31" s="27"/>
      <c r="R31" s="27"/>
      <c r="S31" s="27"/>
      <c r="T31" s="27"/>
      <c r="U31" s="27"/>
      <c r="V31" s="27"/>
      <c r="W31" s="27"/>
      <c r="X31" s="27"/>
      <c r="Y31" s="27"/>
      <c r="Z31" s="27"/>
    </row>
    <row r="32" ht="13.5" customHeight="1">
      <c r="A32" s="27"/>
      <c r="B32" s="28"/>
      <c r="C32" s="36"/>
      <c r="D32" s="30"/>
      <c r="E32" s="37"/>
      <c r="F32" s="32"/>
      <c r="G32" s="33"/>
      <c r="H32" s="34"/>
      <c r="I32" s="35"/>
      <c r="J32" s="27"/>
      <c r="K32" s="27"/>
      <c r="L32" s="27"/>
      <c r="M32" s="27"/>
      <c r="N32" s="27"/>
      <c r="O32" s="27"/>
      <c r="P32" s="27"/>
      <c r="Q32" s="27"/>
      <c r="R32" s="27"/>
      <c r="S32" s="27"/>
      <c r="T32" s="27"/>
      <c r="U32" s="27"/>
      <c r="V32" s="27"/>
      <c r="W32" s="27"/>
      <c r="X32" s="27"/>
      <c r="Y32" s="27"/>
      <c r="Z32" s="27"/>
    </row>
    <row r="33" ht="13.5" customHeight="1">
      <c r="A33" s="27"/>
      <c r="B33" s="28"/>
      <c r="C33" s="36"/>
      <c r="D33" s="30"/>
      <c r="E33" s="37"/>
      <c r="F33" s="32"/>
      <c r="G33" s="33"/>
      <c r="H33" s="34"/>
      <c r="I33" s="35"/>
      <c r="J33" s="27"/>
      <c r="K33" s="27"/>
      <c r="L33" s="27"/>
      <c r="M33" s="27"/>
      <c r="N33" s="27"/>
      <c r="O33" s="27"/>
      <c r="P33" s="27"/>
      <c r="Q33" s="27"/>
      <c r="R33" s="27"/>
      <c r="S33" s="27"/>
      <c r="T33" s="27"/>
      <c r="U33" s="27"/>
      <c r="V33" s="27"/>
      <c r="W33" s="27"/>
      <c r="X33" s="27"/>
      <c r="Y33" s="27"/>
      <c r="Z33" s="27"/>
    </row>
    <row r="34" ht="13.5" customHeight="1">
      <c r="A34" s="27"/>
      <c r="B34" s="28"/>
      <c r="C34" s="36"/>
      <c r="D34" s="30"/>
      <c r="E34" s="37"/>
      <c r="F34" s="32"/>
      <c r="G34" s="33"/>
      <c r="H34" s="34"/>
      <c r="I34" s="35"/>
      <c r="J34" s="27"/>
      <c r="K34" s="27"/>
      <c r="L34" s="27"/>
      <c r="M34" s="27"/>
      <c r="N34" s="27"/>
      <c r="O34" s="27"/>
      <c r="P34" s="27"/>
      <c r="Q34" s="27"/>
      <c r="R34" s="27"/>
      <c r="S34" s="27"/>
      <c r="T34" s="27"/>
      <c r="U34" s="27"/>
      <c r="V34" s="27"/>
      <c r="W34" s="27"/>
      <c r="X34" s="27"/>
      <c r="Y34" s="27"/>
      <c r="Z34" s="27"/>
    </row>
    <row r="35" ht="16.5" customHeight="1">
      <c r="A35" s="12"/>
      <c r="B35" s="43"/>
      <c r="C35" s="43"/>
      <c r="D35" s="43"/>
      <c r="E35" s="43"/>
      <c r="F35" s="43"/>
      <c r="G35" s="33"/>
      <c r="H35" s="34"/>
      <c r="I35" s="21"/>
      <c r="J35" s="12"/>
      <c r="K35" s="12"/>
      <c r="L35" s="12"/>
      <c r="M35" s="12"/>
      <c r="N35" s="12"/>
      <c r="O35" s="12"/>
      <c r="P35" s="12"/>
      <c r="Q35" s="12"/>
      <c r="R35" s="12"/>
      <c r="S35" s="12"/>
      <c r="T35" s="12"/>
      <c r="U35" s="12"/>
      <c r="V35" s="12"/>
      <c r="W35" s="12"/>
      <c r="X35" s="12"/>
      <c r="Y35" s="12"/>
      <c r="Z35" s="12"/>
    </row>
    <row r="36" ht="13.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3.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3.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3.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3.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3.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3.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3.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3.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3.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3.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3.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3.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3.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3.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3.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3.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3.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3.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3.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3.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3.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3.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3.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3.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3.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3.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3.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3.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3.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3.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3.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3.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3.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3.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3.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3.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3.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3.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3.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3.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3.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3.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3.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3.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3.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3.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3.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3.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3.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3.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3.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3.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3.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3.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3.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3.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3.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3.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3.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3.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3.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3.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3.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3.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3.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3.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3.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3.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3.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3.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3.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3.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3.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3.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3.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3.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3.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3.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3.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3.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3.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3.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3.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3.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3.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3.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3.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3.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3.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3.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3.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3.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3.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3.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3.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3.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3.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3.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3.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3.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3.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3.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3.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3.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3.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3.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3.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3.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3.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3.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3.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3.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3.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3.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3.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3.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3.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3.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3.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3.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3.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3.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3.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3.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3.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3.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3.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3.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3.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3.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3.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3.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3.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3.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3.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3.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3.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3.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3.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3.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3.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3.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3.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3.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3.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3.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3.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3.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3.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3.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3.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3.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3.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3.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3.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3.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3.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3.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3.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3.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3.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3.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3.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3.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3.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3.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3.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3.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3.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3.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3.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3.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3.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3.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3.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3.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3.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3.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3.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3.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3.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3.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3.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3.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3.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3.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3.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3.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3.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3.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3.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3.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3.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3.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3.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3.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3.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3.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3.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3.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3.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3.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3.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3.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3.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3.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3.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3.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3.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3.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3.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3.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3.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3.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3.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3.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3.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3.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3.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3.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3.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3.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3.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3.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3.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3.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3.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3.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3.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3.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3.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3.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3.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3.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3.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3.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3.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3.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3.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3.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3.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3.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3.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3.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3.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3.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3.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3.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3.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3.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3.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3.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3.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3.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3.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3.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3.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3.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3.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3.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3.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3.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3.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3.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3.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3.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3.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3.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3.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3.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3.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3.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3.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3.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3.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3.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3.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3.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3.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3.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3.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3.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3.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3.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3.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3.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3.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3.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3.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3.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3.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3.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3.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3.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3.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3.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3.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3.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3.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3.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3.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3.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3.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3.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3.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3.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3.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3.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3.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3.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3.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3.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3.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3.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3.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3.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3.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3.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3.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3.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3.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3.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3.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3.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3.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3.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3.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3.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3.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3.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3.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3.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3.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3.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3.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3.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3.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3.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3.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3.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3.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3.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3.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3.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3.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3.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3.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3.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3.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3.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3.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3.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3.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3.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3.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3.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3.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3.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3.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3.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3.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3.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3.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3.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3.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3.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3.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3.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3.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3.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3.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3.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3.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3.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3.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3.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3.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3.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3.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3.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3.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3.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3.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3.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3.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3.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3.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3.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3.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3.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3.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3.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3.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3.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3.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3.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3.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3.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3.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3.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3.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3.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3.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3.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3.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3.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3.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3.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3.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3.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3.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3.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3.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3.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3.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3.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3.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3.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3.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3.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3.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3.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3.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3.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3.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3.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3.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3.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3.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3.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3.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3.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3.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3.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3.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3.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3.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3.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3.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3.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3.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3.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3.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3.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3.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3.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3.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3.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3.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3.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3.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3.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3.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3.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3.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3.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3.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3.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3.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3.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3.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3.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3.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3.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3.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3.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3.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3.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3.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3.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3.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3.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3.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3.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3.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3.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3.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3.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3.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3.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3.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3.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3.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3.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3.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3.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3.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3.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3.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3.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3.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3.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3.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3.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3.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3.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3.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3.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3.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3.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3.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3.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3.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3.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3.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3.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3.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3.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3.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3.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3.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3.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3.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3.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3.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3.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3.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3.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3.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3.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3.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3.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3.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3.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3.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3.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3.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3.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3.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3.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3.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3.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3.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3.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3.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3.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3.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3.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3.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3.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3.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3.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3.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3.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3.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3.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3.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3.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3.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3.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3.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3.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3.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3.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3.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3.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3.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3.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3.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3.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3.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3.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3.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3.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3.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3.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3.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3.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3.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3.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3.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3.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3.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3.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3.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3.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3.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3.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3.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3.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3.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3.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3.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3.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3.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3.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3.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3.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3.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3.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3.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3.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3.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3.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3.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3.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3.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3.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3.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3.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3.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3.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3.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3.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3.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3.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3.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3.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3.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3.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3.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3.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3.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3.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3.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3.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3.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3.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3.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3.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3.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3.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3.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3.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3.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3.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3.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3.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3.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3.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3.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3.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3.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3.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3.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3.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3.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3.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3.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3.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3.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3.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3.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3.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3.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3.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3.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3.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3.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3.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3.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3.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3.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3.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3.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3.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3.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3.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3.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3.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3.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3.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3.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3.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3.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3.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3.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3.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3.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3.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3.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3.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3.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3.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3.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3.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3.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3.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3.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3.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3.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3.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3.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3.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3.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3.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3.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3.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3.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3.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3.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3.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3.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3.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3.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3.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3.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3.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3.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3.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3.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3.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3.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3.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3.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3.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3.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3.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3.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3.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3.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3.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3.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3.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3.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3.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3.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3.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3.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3.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3.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3.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3.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3.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3.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3.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3.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3.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3.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3.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3.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3.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3.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3.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3.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3.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3.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3.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3.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3.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3.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3.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3.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3.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3.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3.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3.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3.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3.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3.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3.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3.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3.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3.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3.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3.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3.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3.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3.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3.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3.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3.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3.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3.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3.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3.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3.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3.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3.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3.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3.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3.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3.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3.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3.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3.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3.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3.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3.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3.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3.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3.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3.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3.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3.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3.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3.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3.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3.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3.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3.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3.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3.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3.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3.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3.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3.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3.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3.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3.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3.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3.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3.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3.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3.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3.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3.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3.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3.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3.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3.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3.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3.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3.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3.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3.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3.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3.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3.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3.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3.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3.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3.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3.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3.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3.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3.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3.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3.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3.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3.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3.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3.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3.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3.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3.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3.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3.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3.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3.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3.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3.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3.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3.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3.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3.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3.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3.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3.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3.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3.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3.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3.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3.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3.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3.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3.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3.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3.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3.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3.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3.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3.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3.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3.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3.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3.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3.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3.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3.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3.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3.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3.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3.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3.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3.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3.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3.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3.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3.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3.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3.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3.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3.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3.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3.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3.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3.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3.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3.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3.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3.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3.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3.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3.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3.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3.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3.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3.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3.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3.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3.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3.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3.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3.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3.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3.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3.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3.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3.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3.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3.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3.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3.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3.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3.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3.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3.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3.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3.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3.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3.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3.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3.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3.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3.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3.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3.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3.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3.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3.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3.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3.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3.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3.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3.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3.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3.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3.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3.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3.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3.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3.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3.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3.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3.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3.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3.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3.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3.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3.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3.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3.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3.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3.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3.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3.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3.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3.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3.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3.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3.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3.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3.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6">
    <mergeCell ref="B2:F2"/>
    <mergeCell ref="B4:C5"/>
    <mergeCell ref="D4:D5"/>
    <mergeCell ref="E4:E5"/>
    <mergeCell ref="F4:F5"/>
    <mergeCell ref="G4:H4"/>
  </mergeCells>
  <dataValidations>
    <dataValidation type="list" allowBlank="1" showErrorMessage="1" sqref="E6:E34">
      <formula1>List_1</formula1>
    </dataValidation>
    <dataValidation type="list" allowBlank="1" showErrorMessage="1" sqref="D6:D34">
      <formula1>List_2</formula1>
    </dataValidation>
  </dataValidation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sheetViews>
  <sheetFormatPr customHeight="1" defaultColWidth="14.43" defaultRowHeight="15.0"/>
  <cols>
    <col customWidth="1" min="1" max="1" width="2.86"/>
    <col customWidth="1" min="2" max="2" width="7.43"/>
    <col customWidth="1" min="3" max="3" width="60.71"/>
    <col customWidth="1" min="4" max="4" width="18.86"/>
    <col customWidth="1" min="5" max="5" width="19.86"/>
    <col customWidth="1" min="6" max="6" width="41.43"/>
    <col customWidth="1" min="7" max="8" width="24.71"/>
    <col customWidth="1" min="9" max="26" width="9.14"/>
  </cols>
  <sheetData>
    <row r="1" ht="15.0"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ht="33.75" customHeight="1">
      <c r="A2" s="12"/>
      <c r="B2" s="13" t="s">
        <v>241</v>
      </c>
      <c r="C2" s="14"/>
      <c r="D2" s="14"/>
      <c r="E2" s="14"/>
      <c r="F2" s="5"/>
      <c r="G2" s="12"/>
      <c r="H2" s="12"/>
      <c r="I2" s="12"/>
      <c r="J2" s="12"/>
      <c r="K2" s="12"/>
      <c r="L2" s="12"/>
      <c r="M2" s="12"/>
      <c r="N2" s="12"/>
      <c r="O2" s="12"/>
      <c r="P2" s="12"/>
      <c r="Q2" s="12"/>
      <c r="R2" s="12"/>
      <c r="S2" s="12"/>
      <c r="T2" s="12"/>
      <c r="U2" s="12"/>
      <c r="V2" s="12"/>
      <c r="W2" s="12"/>
      <c r="X2" s="12"/>
      <c r="Y2" s="12"/>
      <c r="Z2" s="12"/>
    </row>
    <row r="3" ht="13.5" customHeight="1">
      <c r="A3" s="12"/>
      <c r="B3" s="12"/>
      <c r="C3" s="12"/>
      <c r="D3" s="12"/>
      <c r="E3" s="12"/>
      <c r="F3" s="12"/>
      <c r="G3" s="12"/>
      <c r="H3" s="12"/>
      <c r="I3" s="12"/>
      <c r="J3" s="12"/>
      <c r="K3" s="12"/>
      <c r="L3" s="12"/>
      <c r="M3" s="12"/>
      <c r="N3" s="12"/>
      <c r="O3" s="12"/>
      <c r="P3" s="12"/>
      <c r="Q3" s="12"/>
      <c r="R3" s="12"/>
      <c r="S3" s="12"/>
      <c r="T3" s="12"/>
      <c r="U3" s="12"/>
      <c r="V3" s="12"/>
      <c r="W3" s="12"/>
      <c r="X3" s="12"/>
      <c r="Y3" s="12"/>
      <c r="Z3" s="12"/>
    </row>
    <row r="4" ht="25.5" customHeight="1">
      <c r="A4" s="12"/>
      <c r="B4" s="16" t="s">
        <v>241</v>
      </c>
      <c r="C4" s="17"/>
      <c r="D4" s="18" t="s">
        <v>242</v>
      </c>
      <c r="E4" s="18" t="s">
        <v>243</v>
      </c>
      <c r="F4" s="18" t="s">
        <v>79</v>
      </c>
      <c r="G4" s="19"/>
      <c r="H4" s="20"/>
      <c r="I4" s="21"/>
      <c r="J4" s="12"/>
      <c r="K4" s="12"/>
      <c r="L4" s="12"/>
      <c r="M4" s="12"/>
      <c r="N4" s="12"/>
      <c r="O4" s="12"/>
      <c r="P4" s="12"/>
      <c r="Q4" s="12"/>
      <c r="R4" s="12"/>
      <c r="S4" s="12"/>
      <c r="T4" s="12"/>
      <c r="U4" s="12"/>
      <c r="V4" s="12"/>
      <c r="W4" s="12"/>
      <c r="X4" s="12"/>
      <c r="Y4" s="12"/>
      <c r="Z4" s="12"/>
    </row>
    <row r="5" ht="63.0" customHeight="1">
      <c r="A5" s="12"/>
      <c r="B5" s="22"/>
      <c r="C5" s="23"/>
      <c r="D5" s="24"/>
      <c r="E5" s="24"/>
      <c r="F5" s="24"/>
      <c r="G5" s="25"/>
      <c r="H5" s="26"/>
      <c r="I5" s="21"/>
      <c r="J5" s="12"/>
      <c r="K5" s="12"/>
      <c r="L5" s="12"/>
      <c r="M5" s="12"/>
      <c r="N5" s="12"/>
      <c r="O5" s="12"/>
      <c r="P5" s="12"/>
      <c r="Q5" s="12"/>
      <c r="R5" s="12"/>
      <c r="S5" s="12"/>
      <c r="T5" s="12"/>
      <c r="U5" s="12"/>
      <c r="V5" s="12"/>
      <c r="W5" s="12"/>
      <c r="X5" s="12"/>
      <c r="Y5" s="12"/>
      <c r="Z5" s="12"/>
    </row>
    <row r="6" ht="13.5" customHeight="1">
      <c r="A6" s="27"/>
      <c r="B6" s="28">
        <v>1.0</v>
      </c>
      <c r="C6" s="36" t="s">
        <v>244</v>
      </c>
      <c r="D6" s="30" t="s">
        <v>81</v>
      </c>
      <c r="E6" s="31" t="s">
        <v>119</v>
      </c>
      <c r="F6" s="32"/>
      <c r="G6" s="33"/>
      <c r="H6" s="34"/>
      <c r="I6" s="35"/>
      <c r="J6" s="27"/>
      <c r="K6" s="27"/>
      <c r="L6" s="27"/>
      <c r="M6" s="27"/>
      <c r="N6" s="27"/>
      <c r="O6" s="27"/>
      <c r="P6" s="27"/>
      <c r="Q6" s="27"/>
      <c r="R6" s="27"/>
      <c r="S6" s="27"/>
      <c r="T6" s="27"/>
      <c r="U6" s="27"/>
      <c r="V6" s="27"/>
      <c r="W6" s="27"/>
      <c r="X6" s="27"/>
      <c r="Y6" s="27"/>
      <c r="Z6" s="27"/>
    </row>
    <row r="7" ht="13.5" customHeight="1">
      <c r="A7" s="27"/>
      <c r="B7" s="28">
        <v>2.0</v>
      </c>
      <c r="C7" s="36" t="s">
        <v>245</v>
      </c>
      <c r="D7" s="30" t="s">
        <v>81</v>
      </c>
      <c r="E7" s="31" t="s">
        <v>82</v>
      </c>
      <c r="F7" s="32"/>
      <c r="G7" s="33"/>
      <c r="H7" s="34"/>
      <c r="I7" s="35"/>
      <c r="J7" s="27"/>
      <c r="K7" s="27"/>
      <c r="L7" s="27"/>
      <c r="M7" s="27"/>
      <c r="N7" s="27"/>
      <c r="O7" s="27"/>
      <c r="P7" s="27"/>
      <c r="Q7" s="27"/>
      <c r="R7" s="27"/>
      <c r="S7" s="27"/>
      <c r="T7" s="27"/>
      <c r="U7" s="27"/>
      <c r="V7" s="27"/>
      <c r="W7" s="27"/>
      <c r="X7" s="27"/>
      <c r="Y7" s="27"/>
      <c r="Z7" s="27"/>
    </row>
    <row r="8" ht="13.5" customHeight="1">
      <c r="A8" s="27"/>
      <c r="B8" s="28">
        <v>3.0</v>
      </c>
      <c r="C8" s="36" t="s">
        <v>246</v>
      </c>
      <c r="D8" s="30" t="s">
        <v>81</v>
      </c>
      <c r="E8" s="31" t="s">
        <v>82</v>
      </c>
      <c r="F8" s="32"/>
      <c r="G8" s="33"/>
      <c r="H8" s="34"/>
      <c r="I8" s="35"/>
      <c r="J8" s="27"/>
      <c r="K8" s="27"/>
      <c r="L8" s="27"/>
      <c r="M8" s="27"/>
      <c r="N8" s="27"/>
      <c r="O8" s="27"/>
      <c r="P8" s="27"/>
      <c r="Q8" s="27"/>
      <c r="R8" s="27"/>
      <c r="S8" s="27"/>
      <c r="T8" s="27"/>
      <c r="U8" s="27"/>
      <c r="V8" s="27"/>
      <c r="W8" s="27"/>
      <c r="X8" s="27"/>
      <c r="Y8" s="27"/>
      <c r="Z8" s="27"/>
    </row>
    <row r="9" ht="13.5" customHeight="1">
      <c r="A9" s="27"/>
      <c r="B9" s="28">
        <v>4.0</v>
      </c>
      <c r="C9" s="36" t="s">
        <v>247</v>
      </c>
      <c r="D9" s="30" t="s">
        <v>81</v>
      </c>
      <c r="E9" s="31" t="s">
        <v>119</v>
      </c>
      <c r="F9" s="32"/>
      <c r="G9" s="33"/>
      <c r="H9" s="34"/>
      <c r="I9" s="35"/>
      <c r="J9" s="27"/>
      <c r="K9" s="27"/>
      <c r="L9" s="27"/>
      <c r="M9" s="27"/>
      <c r="N9" s="27"/>
      <c r="O9" s="27"/>
      <c r="P9" s="27"/>
      <c r="Q9" s="27"/>
      <c r="R9" s="27"/>
      <c r="S9" s="27"/>
      <c r="T9" s="27"/>
      <c r="U9" s="27"/>
      <c r="V9" s="27"/>
      <c r="W9" s="27"/>
      <c r="X9" s="27"/>
      <c r="Y9" s="27"/>
      <c r="Z9" s="27"/>
    </row>
    <row r="10" ht="13.5" customHeight="1">
      <c r="A10" s="27"/>
      <c r="B10" s="28">
        <v>5.0</v>
      </c>
      <c r="C10" s="36" t="s">
        <v>248</v>
      </c>
      <c r="D10" s="30" t="s">
        <v>81</v>
      </c>
      <c r="E10" s="31" t="s">
        <v>119</v>
      </c>
      <c r="F10" s="32"/>
      <c r="G10" s="33"/>
      <c r="H10" s="34"/>
      <c r="I10" s="35"/>
      <c r="J10" s="27"/>
      <c r="K10" s="27"/>
      <c r="L10" s="27"/>
      <c r="M10" s="27"/>
      <c r="N10" s="27"/>
      <c r="O10" s="27"/>
      <c r="P10" s="27"/>
      <c r="Q10" s="27"/>
      <c r="R10" s="27"/>
      <c r="S10" s="27"/>
      <c r="T10" s="27"/>
      <c r="U10" s="27"/>
      <c r="V10" s="27"/>
      <c r="W10" s="27"/>
      <c r="X10" s="27"/>
      <c r="Y10" s="27"/>
      <c r="Z10" s="27"/>
    </row>
    <row r="11" ht="13.5" customHeight="1">
      <c r="A11" s="27"/>
      <c r="B11" s="28">
        <v>6.0</v>
      </c>
      <c r="C11" s="36" t="s">
        <v>249</v>
      </c>
      <c r="D11" s="30" t="s">
        <v>81</v>
      </c>
      <c r="E11" s="31" t="s">
        <v>119</v>
      </c>
      <c r="F11" s="32"/>
      <c r="G11" s="33"/>
      <c r="H11" s="34"/>
      <c r="I11" s="35"/>
      <c r="J11" s="27"/>
      <c r="K11" s="27"/>
      <c r="L11" s="27"/>
      <c r="M11" s="27"/>
      <c r="N11" s="27"/>
      <c r="O11" s="27"/>
      <c r="P11" s="27"/>
      <c r="Q11" s="27"/>
      <c r="R11" s="27"/>
      <c r="S11" s="27"/>
      <c r="T11" s="27"/>
      <c r="U11" s="27"/>
      <c r="V11" s="27"/>
      <c r="W11" s="27"/>
      <c r="X11" s="27"/>
      <c r="Y11" s="27"/>
      <c r="Z11" s="27"/>
    </row>
    <row r="12" ht="13.5" customHeight="1">
      <c r="A12" s="27"/>
      <c r="B12" s="28">
        <v>7.0</v>
      </c>
      <c r="C12" s="36" t="s">
        <v>250</v>
      </c>
      <c r="D12" s="30" t="s">
        <v>81</v>
      </c>
      <c r="E12" s="31" t="s">
        <v>119</v>
      </c>
      <c r="F12" s="32"/>
      <c r="G12" s="33"/>
      <c r="H12" s="34"/>
      <c r="I12" s="35"/>
      <c r="J12" s="27"/>
      <c r="K12" s="27"/>
      <c r="L12" s="27"/>
      <c r="M12" s="27"/>
      <c r="N12" s="27"/>
      <c r="O12" s="27"/>
      <c r="P12" s="27"/>
      <c r="Q12" s="27"/>
      <c r="R12" s="27"/>
      <c r="S12" s="27"/>
      <c r="T12" s="27"/>
      <c r="U12" s="27"/>
      <c r="V12" s="27"/>
      <c r="W12" s="27"/>
      <c r="X12" s="27"/>
      <c r="Y12" s="27"/>
      <c r="Z12" s="27"/>
    </row>
    <row r="13" ht="13.5" customHeight="1">
      <c r="A13" s="27"/>
      <c r="B13" s="28">
        <v>8.0</v>
      </c>
      <c r="C13" s="36" t="s">
        <v>251</v>
      </c>
      <c r="D13" s="30" t="s">
        <v>81</v>
      </c>
      <c r="E13" s="31" t="s">
        <v>82</v>
      </c>
      <c r="F13" s="32"/>
      <c r="G13" s="33"/>
      <c r="H13" s="34"/>
      <c r="I13" s="35"/>
      <c r="J13" s="27"/>
      <c r="K13" s="27"/>
      <c r="L13" s="27"/>
      <c r="M13" s="27"/>
      <c r="N13" s="27"/>
      <c r="O13" s="27"/>
      <c r="P13" s="27"/>
      <c r="Q13" s="27"/>
      <c r="R13" s="27"/>
      <c r="S13" s="27"/>
      <c r="T13" s="27"/>
      <c r="U13" s="27"/>
      <c r="V13" s="27"/>
      <c r="W13" s="27"/>
      <c r="X13" s="27"/>
      <c r="Y13" s="27"/>
      <c r="Z13" s="27"/>
    </row>
    <row r="14" ht="13.5" customHeight="1">
      <c r="A14" s="27"/>
      <c r="B14" s="28">
        <v>9.0</v>
      </c>
      <c r="C14" s="36" t="s">
        <v>252</v>
      </c>
      <c r="D14" s="30" t="s">
        <v>116</v>
      </c>
      <c r="E14" s="31" t="s">
        <v>119</v>
      </c>
      <c r="F14" s="32"/>
      <c r="G14" s="33"/>
      <c r="H14" s="34"/>
      <c r="I14" s="35"/>
      <c r="J14" s="27"/>
      <c r="K14" s="27"/>
      <c r="L14" s="27"/>
      <c r="M14" s="27"/>
      <c r="N14" s="27"/>
      <c r="O14" s="27"/>
      <c r="P14" s="27"/>
      <c r="Q14" s="27"/>
      <c r="R14" s="27"/>
      <c r="S14" s="27"/>
      <c r="T14" s="27"/>
      <c r="U14" s="27"/>
      <c r="V14" s="27"/>
      <c r="W14" s="27"/>
      <c r="X14" s="27"/>
      <c r="Y14" s="27"/>
      <c r="Z14" s="27"/>
    </row>
    <row r="15" ht="13.5" customHeight="1">
      <c r="A15" s="27"/>
      <c r="B15" s="28">
        <v>10.0</v>
      </c>
      <c r="C15" s="36" t="s">
        <v>253</v>
      </c>
      <c r="D15" s="30" t="s">
        <v>81</v>
      </c>
      <c r="E15" s="31" t="s">
        <v>82</v>
      </c>
      <c r="F15" s="49" t="s">
        <v>254</v>
      </c>
      <c r="G15" s="33"/>
      <c r="H15" s="34"/>
      <c r="I15" s="35"/>
      <c r="J15" s="27"/>
      <c r="K15" s="27"/>
      <c r="L15" s="27"/>
      <c r="M15" s="27"/>
      <c r="N15" s="27"/>
      <c r="O15" s="27"/>
      <c r="P15" s="27"/>
      <c r="Q15" s="27"/>
      <c r="R15" s="27"/>
      <c r="S15" s="27"/>
      <c r="T15" s="27"/>
      <c r="U15" s="27"/>
      <c r="V15" s="27"/>
      <c r="W15" s="27"/>
      <c r="X15" s="27"/>
      <c r="Y15" s="27"/>
      <c r="Z15" s="27"/>
    </row>
    <row r="16" ht="13.5" customHeight="1">
      <c r="A16" s="27"/>
      <c r="B16" s="28">
        <v>11.0</v>
      </c>
      <c r="C16" s="36" t="s">
        <v>255</v>
      </c>
      <c r="D16" s="30" t="s">
        <v>116</v>
      </c>
      <c r="E16" s="31" t="s">
        <v>82</v>
      </c>
      <c r="F16" s="32"/>
      <c r="G16" s="33"/>
      <c r="H16" s="34"/>
      <c r="I16" s="35"/>
      <c r="J16" s="27"/>
      <c r="K16" s="27"/>
      <c r="L16" s="27"/>
      <c r="M16" s="27"/>
      <c r="N16" s="27"/>
      <c r="O16" s="27"/>
      <c r="P16" s="27"/>
      <c r="Q16" s="27"/>
      <c r="R16" s="27"/>
      <c r="S16" s="27"/>
      <c r="T16" s="27"/>
      <c r="U16" s="27"/>
      <c r="V16" s="27"/>
      <c r="W16" s="27"/>
      <c r="X16" s="27"/>
      <c r="Y16" s="27"/>
      <c r="Z16" s="27"/>
    </row>
    <row r="17" ht="13.5" customHeight="1">
      <c r="A17" s="27"/>
      <c r="B17" s="28">
        <v>12.0</v>
      </c>
      <c r="C17" s="36" t="s">
        <v>256</v>
      </c>
      <c r="D17" s="30" t="s">
        <v>110</v>
      </c>
      <c r="E17" s="37"/>
      <c r="F17" s="39" t="s">
        <v>257</v>
      </c>
      <c r="G17" s="33"/>
      <c r="H17" s="34"/>
      <c r="I17" s="35"/>
      <c r="J17" s="27"/>
      <c r="K17" s="27"/>
      <c r="L17" s="27"/>
      <c r="M17" s="27"/>
      <c r="N17" s="27"/>
      <c r="O17" s="27"/>
      <c r="P17" s="27"/>
      <c r="Q17" s="27"/>
      <c r="R17" s="27"/>
      <c r="S17" s="27"/>
      <c r="T17" s="27"/>
      <c r="U17" s="27"/>
      <c r="V17" s="27"/>
      <c r="W17" s="27"/>
      <c r="X17" s="27"/>
      <c r="Y17" s="27"/>
      <c r="Z17" s="27"/>
    </row>
    <row r="18" ht="13.5" customHeight="1">
      <c r="A18" s="27"/>
      <c r="B18" s="28">
        <v>13.0</v>
      </c>
      <c r="C18" s="36" t="s">
        <v>258</v>
      </c>
      <c r="D18" s="30" t="s">
        <v>116</v>
      </c>
      <c r="E18" s="31" t="s">
        <v>216</v>
      </c>
      <c r="F18" s="32"/>
      <c r="G18" s="33"/>
      <c r="H18" s="34"/>
      <c r="I18" s="35"/>
      <c r="J18" s="27"/>
      <c r="K18" s="27"/>
      <c r="L18" s="27"/>
      <c r="M18" s="27"/>
      <c r="N18" s="27"/>
      <c r="O18" s="27"/>
      <c r="P18" s="27"/>
      <c r="Q18" s="27"/>
      <c r="R18" s="27"/>
      <c r="S18" s="27"/>
      <c r="T18" s="27"/>
      <c r="U18" s="27"/>
      <c r="V18" s="27"/>
      <c r="W18" s="27"/>
      <c r="X18" s="27"/>
      <c r="Y18" s="27"/>
      <c r="Z18" s="27"/>
    </row>
    <row r="19" ht="13.5" customHeight="1">
      <c r="A19" s="27"/>
      <c r="B19" s="28">
        <v>14.0</v>
      </c>
      <c r="C19" s="36" t="s">
        <v>259</v>
      </c>
      <c r="D19" s="30" t="s">
        <v>81</v>
      </c>
      <c r="E19" s="31" t="s">
        <v>119</v>
      </c>
      <c r="F19" s="32"/>
      <c r="G19" s="33"/>
      <c r="H19" s="34"/>
      <c r="I19" s="35"/>
      <c r="J19" s="27"/>
      <c r="K19" s="27"/>
      <c r="L19" s="27"/>
      <c r="M19" s="27"/>
      <c r="N19" s="27"/>
      <c r="O19" s="27"/>
      <c r="P19" s="27"/>
      <c r="Q19" s="27"/>
      <c r="R19" s="27"/>
      <c r="S19" s="27"/>
      <c r="T19" s="27"/>
      <c r="U19" s="27"/>
      <c r="V19" s="27"/>
      <c r="W19" s="27"/>
      <c r="X19" s="27"/>
      <c r="Y19" s="27"/>
      <c r="Z19" s="27"/>
    </row>
    <row r="20" ht="13.5" customHeight="1">
      <c r="A20" s="27"/>
      <c r="B20" s="28">
        <v>15.0</v>
      </c>
      <c r="C20" s="36" t="s">
        <v>260</v>
      </c>
      <c r="D20" s="30" t="s">
        <v>81</v>
      </c>
      <c r="E20" s="31" t="s">
        <v>119</v>
      </c>
      <c r="F20" s="32"/>
      <c r="G20" s="33"/>
      <c r="H20" s="34"/>
      <c r="I20" s="35"/>
      <c r="J20" s="27"/>
      <c r="K20" s="27"/>
      <c r="L20" s="27"/>
      <c r="M20" s="27"/>
      <c r="N20" s="27"/>
      <c r="O20" s="27"/>
      <c r="P20" s="27"/>
      <c r="Q20" s="27"/>
      <c r="R20" s="27"/>
      <c r="S20" s="27"/>
      <c r="T20" s="27"/>
      <c r="U20" s="27"/>
      <c r="V20" s="27"/>
      <c r="W20" s="27"/>
      <c r="X20" s="27"/>
      <c r="Y20" s="27"/>
      <c r="Z20" s="27"/>
    </row>
    <row r="21" ht="13.5" customHeight="1">
      <c r="A21" s="27"/>
      <c r="B21" s="28">
        <v>16.0</v>
      </c>
      <c r="C21" s="36" t="s">
        <v>261</v>
      </c>
      <c r="D21" s="30" t="s">
        <v>81</v>
      </c>
      <c r="E21" s="31" t="s">
        <v>119</v>
      </c>
      <c r="F21" s="32"/>
      <c r="G21" s="33"/>
      <c r="H21" s="34"/>
      <c r="I21" s="35"/>
      <c r="J21" s="27"/>
      <c r="K21" s="27"/>
      <c r="L21" s="27"/>
      <c r="M21" s="27"/>
      <c r="N21" s="27"/>
      <c r="O21" s="27"/>
      <c r="P21" s="27"/>
      <c r="Q21" s="27"/>
      <c r="R21" s="27"/>
      <c r="S21" s="27"/>
      <c r="T21" s="27"/>
      <c r="U21" s="27"/>
      <c r="V21" s="27"/>
      <c r="W21" s="27"/>
      <c r="X21" s="27"/>
      <c r="Y21" s="27"/>
      <c r="Z21" s="27"/>
    </row>
    <row r="22" ht="13.5" customHeight="1">
      <c r="A22" s="27"/>
      <c r="B22" s="28">
        <v>17.0</v>
      </c>
      <c r="C22" s="36" t="s">
        <v>262</v>
      </c>
      <c r="D22" s="30" t="s">
        <v>116</v>
      </c>
      <c r="E22" s="31" t="s">
        <v>119</v>
      </c>
      <c r="F22" s="32"/>
      <c r="G22" s="33"/>
      <c r="H22" s="34"/>
      <c r="I22" s="35"/>
      <c r="J22" s="27"/>
      <c r="K22" s="27"/>
      <c r="L22" s="27"/>
      <c r="M22" s="27"/>
      <c r="N22" s="27"/>
      <c r="O22" s="27"/>
      <c r="P22" s="27"/>
      <c r="Q22" s="27"/>
      <c r="R22" s="27"/>
      <c r="S22" s="27"/>
      <c r="T22" s="27"/>
      <c r="U22" s="27"/>
      <c r="V22" s="27"/>
      <c r="W22" s="27"/>
      <c r="X22" s="27"/>
      <c r="Y22" s="27"/>
      <c r="Z22" s="27"/>
    </row>
    <row r="23" ht="13.5" customHeight="1">
      <c r="A23" s="27"/>
      <c r="B23" s="28">
        <v>18.0</v>
      </c>
      <c r="C23" s="36"/>
      <c r="D23" s="30"/>
      <c r="E23" s="37"/>
      <c r="F23" s="32"/>
      <c r="G23" s="33"/>
      <c r="H23" s="34"/>
      <c r="I23" s="35"/>
      <c r="J23" s="27"/>
      <c r="K23" s="27"/>
      <c r="L23" s="27"/>
      <c r="M23" s="27"/>
      <c r="N23" s="27"/>
      <c r="O23" s="27"/>
      <c r="P23" s="27"/>
      <c r="Q23" s="27"/>
      <c r="R23" s="27"/>
      <c r="S23" s="27"/>
      <c r="T23" s="27"/>
      <c r="U23" s="27"/>
      <c r="V23" s="27"/>
      <c r="W23" s="27"/>
      <c r="X23" s="27"/>
      <c r="Y23" s="27"/>
      <c r="Z23" s="27"/>
    </row>
    <row r="24" ht="13.5" customHeight="1">
      <c r="A24" s="27"/>
      <c r="B24" s="28">
        <v>19.0</v>
      </c>
      <c r="C24" s="36"/>
      <c r="D24" s="30"/>
      <c r="E24" s="37"/>
      <c r="F24" s="32"/>
      <c r="G24" s="33"/>
      <c r="H24" s="34"/>
      <c r="I24" s="35"/>
      <c r="J24" s="27"/>
      <c r="K24" s="27"/>
      <c r="L24" s="27"/>
      <c r="M24" s="27"/>
      <c r="N24" s="27"/>
      <c r="O24" s="27"/>
      <c r="P24" s="27"/>
      <c r="Q24" s="27"/>
      <c r="R24" s="27"/>
      <c r="S24" s="27"/>
      <c r="T24" s="27"/>
      <c r="U24" s="27"/>
      <c r="V24" s="27"/>
      <c r="W24" s="27"/>
      <c r="X24" s="27"/>
      <c r="Y24" s="27"/>
      <c r="Z24" s="27"/>
    </row>
    <row r="25" ht="13.5" customHeight="1">
      <c r="A25" s="27"/>
      <c r="B25" s="28">
        <v>20.0</v>
      </c>
      <c r="C25" s="36"/>
      <c r="D25" s="30"/>
      <c r="E25" s="37"/>
      <c r="F25" s="32"/>
      <c r="G25" s="33"/>
      <c r="H25" s="34"/>
      <c r="I25" s="35"/>
      <c r="J25" s="27"/>
      <c r="K25" s="27"/>
      <c r="L25" s="27"/>
      <c r="M25" s="27"/>
      <c r="N25" s="27"/>
      <c r="O25" s="27"/>
      <c r="P25" s="27"/>
      <c r="Q25" s="27"/>
      <c r="R25" s="27"/>
      <c r="S25" s="27"/>
      <c r="T25" s="27"/>
      <c r="U25" s="27"/>
      <c r="V25" s="27"/>
      <c r="W25" s="27"/>
      <c r="X25" s="27"/>
      <c r="Y25" s="27"/>
      <c r="Z25" s="27"/>
    </row>
    <row r="26" ht="13.5" customHeight="1">
      <c r="A26" s="27"/>
      <c r="B26" s="28">
        <v>21.0</v>
      </c>
      <c r="C26" s="36"/>
      <c r="D26" s="30"/>
      <c r="E26" s="37"/>
      <c r="F26" s="32"/>
      <c r="G26" s="33"/>
      <c r="H26" s="34"/>
      <c r="I26" s="35"/>
      <c r="J26" s="27"/>
      <c r="K26" s="27"/>
      <c r="L26" s="27"/>
      <c r="M26" s="27"/>
      <c r="N26" s="27"/>
      <c r="O26" s="27"/>
      <c r="P26" s="27"/>
      <c r="Q26" s="27"/>
      <c r="R26" s="27"/>
      <c r="S26" s="27"/>
      <c r="T26" s="27"/>
      <c r="U26" s="27"/>
      <c r="V26" s="27"/>
      <c r="W26" s="27"/>
      <c r="X26" s="27"/>
      <c r="Y26" s="27"/>
      <c r="Z26" s="27"/>
    </row>
    <row r="27" ht="13.5" customHeight="1">
      <c r="A27" s="27"/>
      <c r="B27" s="28">
        <v>22.0</v>
      </c>
      <c r="C27" s="36"/>
      <c r="D27" s="30"/>
      <c r="E27" s="37"/>
      <c r="F27" s="32"/>
      <c r="G27" s="33"/>
      <c r="H27" s="34"/>
      <c r="I27" s="35"/>
      <c r="J27" s="27"/>
      <c r="K27" s="27"/>
      <c r="L27" s="27"/>
      <c r="M27" s="27"/>
      <c r="N27" s="27"/>
      <c r="O27" s="27"/>
      <c r="P27" s="27"/>
      <c r="Q27" s="27"/>
      <c r="R27" s="27"/>
      <c r="S27" s="27"/>
      <c r="T27" s="27"/>
      <c r="U27" s="27"/>
      <c r="V27" s="27"/>
      <c r="W27" s="27"/>
      <c r="X27" s="27"/>
      <c r="Y27" s="27"/>
      <c r="Z27" s="27"/>
    </row>
    <row r="28" ht="13.5" customHeight="1">
      <c r="A28" s="27"/>
      <c r="B28" s="28">
        <v>23.0</v>
      </c>
      <c r="C28" s="36"/>
      <c r="D28" s="30"/>
      <c r="E28" s="37"/>
      <c r="F28" s="32"/>
      <c r="G28" s="33"/>
      <c r="H28" s="34"/>
      <c r="I28" s="35"/>
      <c r="J28" s="27"/>
      <c r="K28" s="27"/>
      <c r="L28" s="27"/>
      <c r="M28" s="27"/>
      <c r="N28" s="27"/>
      <c r="O28" s="27"/>
      <c r="P28" s="27"/>
      <c r="Q28" s="27"/>
      <c r="R28" s="27"/>
      <c r="S28" s="27"/>
      <c r="T28" s="27"/>
      <c r="U28" s="27"/>
      <c r="V28" s="27"/>
      <c r="W28" s="27"/>
      <c r="X28" s="27"/>
      <c r="Y28" s="27"/>
      <c r="Z28" s="27"/>
    </row>
    <row r="29" ht="13.5" customHeight="1">
      <c r="A29" s="27"/>
      <c r="B29" s="28">
        <v>24.0</v>
      </c>
      <c r="C29" s="36"/>
      <c r="D29" s="30"/>
      <c r="E29" s="37"/>
      <c r="F29" s="32"/>
      <c r="G29" s="33"/>
      <c r="H29" s="34"/>
      <c r="I29" s="35"/>
      <c r="J29" s="27"/>
      <c r="K29" s="27"/>
      <c r="L29" s="27"/>
      <c r="M29" s="27"/>
      <c r="N29" s="27"/>
      <c r="O29" s="27"/>
      <c r="P29" s="27"/>
      <c r="Q29" s="27"/>
      <c r="R29" s="27"/>
      <c r="S29" s="27"/>
      <c r="T29" s="27"/>
      <c r="U29" s="27"/>
      <c r="V29" s="27"/>
      <c r="W29" s="27"/>
      <c r="X29" s="27"/>
      <c r="Y29" s="27"/>
      <c r="Z29" s="27"/>
    </row>
    <row r="30" ht="13.5" customHeight="1">
      <c r="A30" s="27"/>
      <c r="B30" s="28">
        <v>25.0</v>
      </c>
      <c r="C30" s="36"/>
      <c r="D30" s="30"/>
      <c r="E30" s="37"/>
      <c r="F30" s="32"/>
      <c r="G30" s="33"/>
      <c r="H30" s="34"/>
      <c r="I30" s="35"/>
      <c r="J30" s="27"/>
      <c r="K30" s="27"/>
      <c r="L30" s="27"/>
      <c r="M30" s="27"/>
      <c r="N30" s="27"/>
      <c r="O30" s="27"/>
      <c r="P30" s="27"/>
      <c r="Q30" s="27"/>
      <c r="R30" s="27"/>
      <c r="S30" s="27"/>
      <c r="T30" s="27"/>
      <c r="U30" s="27"/>
      <c r="V30" s="27"/>
      <c r="W30" s="27"/>
      <c r="X30" s="27"/>
      <c r="Y30" s="27"/>
      <c r="Z30" s="27"/>
    </row>
    <row r="31" ht="13.5" customHeight="1">
      <c r="A31" s="27"/>
      <c r="B31" s="28"/>
      <c r="C31" s="36"/>
      <c r="D31" s="30"/>
      <c r="E31" s="37"/>
      <c r="F31" s="32"/>
      <c r="G31" s="33"/>
      <c r="H31" s="34"/>
      <c r="I31" s="35"/>
      <c r="J31" s="27"/>
      <c r="K31" s="27"/>
      <c r="L31" s="27"/>
      <c r="M31" s="27"/>
      <c r="N31" s="27"/>
      <c r="O31" s="27"/>
      <c r="P31" s="27"/>
      <c r="Q31" s="27"/>
      <c r="R31" s="27"/>
      <c r="S31" s="27"/>
      <c r="T31" s="27"/>
      <c r="U31" s="27"/>
      <c r="V31" s="27"/>
      <c r="W31" s="27"/>
      <c r="X31" s="27"/>
      <c r="Y31" s="27"/>
      <c r="Z31" s="27"/>
    </row>
    <row r="32" ht="13.5" customHeight="1">
      <c r="A32" s="27"/>
      <c r="B32" s="28"/>
      <c r="C32" s="36"/>
      <c r="D32" s="30"/>
      <c r="E32" s="37"/>
      <c r="F32" s="32"/>
      <c r="G32" s="33"/>
      <c r="H32" s="34"/>
      <c r="I32" s="35"/>
      <c r="J32" s="27"/>
      <c r="K32" s="27"/>
      <c r="L32" s="27"/>
      <c r="M32" s="27"/>
      <c r="N32" s="27"/>
      <c r="O32" s="27"/>
      <c r="P32" s="27"/>
      <c r="Q32" s="27"/>
      <c r="R32" s="27"/>
      <c r="S32" s="27"/>
      <c r="T32" s="27"/>
      <c r="U32" s="27"/>
      <c r="V32" s="27"/>
      <c r="W32" s="27"/>
      <c r="X32" s="27"/>
      <c r="Y32" s="27"/>
      <c r="Z32" s="27"/>
    </row>
    <row r="33" ht="13.5" customHeight="1">
      <c r="A33" s="27"/>
      <c r="B33" s="28"/>
      <c r="C33" s="36"/>
      <c r="D33" s="30"/>
      <c r="E33" s="37"/>
      <c r="F33" s="32"/>
      <c r="G33" s="33"/>
      <c r="H33" s="34"/>
      <c r="I33" s="35"/>
      <c r="J33" s="27"/>
      <c r="K33" s="27"/>
      <c r="L33" s="27"/>
      <c r="M33" s="27"/>
      <c r="N33" s="27"/>
      <c r="O33" s="27"/>
      <c r="P33" s="27"/>
      <c r="Q33" s="27"/>
      <c r="R33" s="27"/>
      <c r="S33" s="27"/>
      <c r="T33" s="27"/>
      <c r="U33" s="27"/>
      <c r="V33" s="27"/>
      <c r="W33" s="27"/>
      <c r="X33" s="27"/>
      <c r="Y33" s="27"/>
      <c r="Z33" s="27"/>
    </row>
    <row r="34" ht="13.5" customHeight="1">
      <c r="A34" s="27"/>
      <c r="B34" s="28"/>
      <c r="C34" s="36"/>
      <c r="D34" s="30"/>
      <c r="E34" s="37"/>
      <c r="F34" s="32"/>
      <c r="G34" s="33"/>
      <c r="H34" s="34"/>
      <c r="I34" s="35"/>
      <c r="J34" s="27"/>
      <c r="K34" s="27"/>
      <c r="L34" s="27"/>
      <c r="M34" s="27"/>
      <c r="N34" s="27"/>
      <c r="O34" s="27"/>
      <c r="P34" s="27"/>
      <c r="Q34" s="27"/>
      <c r="R34" s="27"/>
      <c r="S34" s="27"/>
      <c r="T34" s="27"/>
      <c r="U34" s="27"/>
      <c r="V34" s="27"/>
      <c r="W34" s="27"/>
      <c r="X34" s="27"/>
      <c r="Y34" s="27"/>
      <c r="Z34" s="27"/>
    </row>
    <row r="35" ht="16.5" customHeight="1">
      <c r="A35" s="12"/>
      <c r="B35" s="43"/>
      <c r="C35" s="43"/>
      <c r="D35" s="43"/>
      <c r="E35" s="43"/>
      <c r="F35" s="43"/>
      <c r="G35" s="33"/>
      <c r="H35" s="34"/>
      <c r="I35" s="21"/>
      <c r="J35" s="12"/>
      <c r="K35" s="12"/>
      <c r="L35" s="12"/>
      <c r="M35" s="12"/>
      <c r="N35" s="12"/>
      <c r="O35" s="12"/>
      <c r="P35" s="12"/>
      <c r="Q35" s="12"/>
      <c r="R35" s="12"/>
      <c r="S35" s="12"/>
      <c r="T35" s="12"/>
      <c r="U35" s="12"/>
      <c r="V35" s="12"/>
      <c r="W35" s="12"/>
      <c r="X35" s="12"/>
      <c r="Y35" s="12"/>
      <c r="Z35" s="12"/>
    </row>
    <row r="36" ht="13.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3.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3.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3.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3.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3.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3.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3.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3.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3.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3.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3.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3.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3.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3.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3.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3.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3.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3.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3.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3.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3.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3.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3.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3.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3.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3.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3.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3.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3.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3.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3.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3.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3.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3.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3.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3.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3.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3.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3.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3.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3.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3.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3.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3.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3.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3.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3.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3.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3.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3.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3.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3.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3.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3.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3.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3.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3.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3.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3.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3.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3.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3.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3.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3.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3.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3.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3.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3.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3.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3.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3.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3.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3.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3.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3.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3.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3.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3.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3.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3.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3.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3.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3.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3.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3.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3.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3.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3.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3.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3.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3.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3.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3.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3.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3.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3.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3.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3.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3.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3.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3.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3.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3.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3.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3.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3.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3.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3.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3.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3.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3.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3.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3.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3.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3.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3.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3.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3.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3.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3.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3.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3.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3.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3.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3.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3.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3.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3.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3.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3.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3.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3.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3.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3.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3.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3.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3.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3.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3.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3.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3.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3.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3.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3.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3.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3.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3.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3.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3.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3.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3.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3.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3.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3.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3.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3.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3.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3.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3.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3.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3.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3.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3.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3.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3.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3.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3.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3.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3.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3.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3.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3.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3.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3.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3.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3.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3.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3.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3.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3.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3.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3.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3.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3.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3.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3.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3.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3.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3.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3.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3.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3.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3.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3.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3.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3.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3.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3.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3.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3.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3.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3.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3.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3.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3.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3.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3.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3.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3.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3.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3.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3.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3.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3.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3.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3.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3.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3.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3.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3.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3.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3.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3.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3.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3.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3.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3.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3.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3.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3.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3.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3.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3.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3.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3.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3.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3.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3.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3.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3.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3.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3.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3.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3.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3.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3.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3.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3.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3.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3.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3.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3.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3.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3.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3.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3.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3.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3.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3.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3.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3.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3.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3.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3.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3.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3.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3.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3.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3.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3.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3.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3.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3.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3.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3.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3.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3.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3.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3.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3.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3.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3.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3.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3.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3.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3.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3.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3.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3.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3.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3.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3.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3.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3.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3.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3.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3.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3.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3.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3.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3.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3.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3.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3.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3.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3.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3.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3.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3.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3.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3.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3.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3.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3.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3.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3.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3.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3.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3.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3.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3.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3.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3.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3.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3.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3.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3.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3.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3.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3.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3.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3.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3.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3.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3.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3.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3.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3.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3.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3.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3.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3.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3.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3.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3.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3.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3.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3.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3.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3.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3.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3.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3.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3.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3.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3.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3.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3.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3.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3.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3.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3.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3.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3.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3.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3.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3.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3.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3.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3.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3.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3.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3.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3.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3.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3.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3.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3.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3.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3.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3.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3.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3.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3.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3.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3.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3.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3.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3.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3.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3.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3.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3.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3.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3.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3.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3.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3.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3.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3.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3.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3.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3.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3.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3.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3.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3.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3.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3.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3.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3.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3.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3.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3.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3.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3.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3.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3.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3.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3.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3.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3.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3.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3.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3.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3.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3.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3.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3.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3.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3.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3.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3.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3.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3.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3.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3.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3.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3.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3.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3.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3.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3.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3.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3.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3.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3.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3.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3.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3.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3.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3.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3.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3.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3.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3.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3.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3.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3.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3.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3.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3.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3.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3.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3.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3.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3.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3.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3.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3.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3.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3.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3.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3.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3.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3.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3.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3.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3.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3.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3.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3.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3.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3.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3.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3.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3.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3.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3.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3.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3.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3.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3.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3.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3.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3.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3.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3.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3.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3.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3.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3.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3.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3.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3.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3.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3.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3.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3.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3.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3.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3.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3.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3.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3.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3.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3.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3.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3.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3.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3.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3.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3.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3.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3.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3.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3.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3.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3.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3.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3.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3.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3.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3.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3.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3.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3.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3.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3.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3.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3.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3.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3.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3.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3.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3.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3.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3.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3.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3.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3.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3.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3.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3.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3.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3.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3.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3.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3.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3.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3.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3.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3.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3.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3.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3.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3.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3.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3.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3.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3.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3.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3.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3.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3.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3.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3.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3.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3.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3.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3.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3.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3.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3.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3.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3.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3.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3.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3.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3.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3.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3.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3.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3.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3.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3.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3.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3.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3.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3.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3.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3.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3.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3.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3.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3.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3.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3.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3.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3.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3.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3.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3.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3.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3.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3.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3.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3.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3.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3.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3.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3.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3.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3.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3.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3.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3.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3.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3.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3.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3.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3.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3.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3.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3.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3.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3.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3.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3.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3.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3.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3.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3.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3.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3.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3.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3.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3.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3.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3.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3.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3.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3.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3.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3.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3.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3.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3.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3.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3.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3.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3.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3.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3.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3.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3.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3.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3.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3.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3.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3.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3.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3.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3.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3.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3.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3.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3.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3.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3.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3.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3.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3.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3.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3.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3.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3.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3.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3.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3.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3.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3.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3.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3.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3.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3.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3.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3.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3.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3.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3.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3.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3.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3.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3.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3.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3.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3.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3.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3.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3.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3.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3.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3.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3.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3.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3.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3.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3.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3.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3.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3.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3.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3.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3.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3.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3.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3.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3.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3.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3.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3.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3.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3.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3.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3.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3.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3.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3.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3.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3.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3.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3.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3.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3.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3.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3.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3.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3.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3.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3.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3.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3.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3.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3.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3.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3.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3.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3.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3.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3.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3.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3.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3.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3.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3.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3.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3.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3.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3.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3.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3.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3.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3.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3.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3.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3.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3.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3.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3.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3.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3.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3.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3.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3.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3.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3.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3.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3.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3.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3.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3.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3.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3.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3.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3.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3.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3.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3.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3.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3.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3.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3.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3.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3.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3.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3.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3.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3.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3.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3.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3.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3.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3.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3.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3.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3.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3.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3.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3.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3.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3.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3.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3.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3.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3.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3.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3.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3.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3.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3.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3.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3.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3.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3.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3.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3.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3.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3.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3.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3.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3.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3.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3.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3.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3.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3.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3.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3.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3.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3.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3.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3.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3.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3.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3.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3.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3.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3.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3.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3.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3.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3.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3.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3.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3.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3.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3.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3.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3.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3.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3.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3.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3.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3.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3.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3.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3.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3.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3.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3.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3.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3.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3.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3.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3.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3.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3.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3.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3.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3.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3.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3.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3.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3.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3.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3.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3.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3.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3.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3.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3.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3.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3.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3.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3.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3.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3.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3.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3.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3.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3.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3.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3.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3.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3.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3.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3.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3.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3.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3.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3.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3.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3.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3.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3.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3.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3.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3.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3.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3.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3.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3.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3.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3.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3.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3.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3.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3.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3.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3.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3.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3.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3.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3.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3.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3.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3.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3.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3.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3.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3.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3.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3.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3.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3.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3.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3.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3.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3.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3.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3.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3.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3.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6">
    <mergeCell ref="B2:F2"/>
    <mergeCell ref="B4:C5"/>
    <mergeCell ref="D4:D5"/>
    <mergeCell ref="E4:E5"/>
    <mergeCell ref="F4:F5"/>
    <mergeCell ref="G4:H4"/>
  </mergeCells>
  <dataValidations>
    <dataValidation type="list" allowBlank="1" showErrorMessage="1" sqref="E6:E34">
      <formula1>List_1</formula1>
    </dataValidation>
    <dataValidation type="list" allowBlank="1" showErrorMessage="1" sqref="D6:D34">
      <formula1>List_2</formula1>
    </dataValidation>
  </dataValidation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sheetViews>
  <sheetFormatPr customHeight="1" defaultColWidth="14.43" defaultRowHeight="15.0"/>
  <cols>
    <col customWidth="1" min="1" max="1" width="2.86"/>
    <col customWidth="1" min="2" max="2" width="7.43"/>
    <col customWidth="1" min="3" max="3" width="60.71"/>
    <col customWidth="1" min="4" max="4" width="18.86"/>
    <col customWidth="1" min="5" max="5" width="19.86"/>
    <col customWidth="1" min="6" max="6" width="41.43"/>
    <col customWidth="1" min="7" max="8" width="24.71"/>
    <col customWidth="1" min="9" max="26" width="9.14"/>
  </cols>
  <sheetData>
    <row r="1" ht="15.0"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ht="33.75" customHeight="1">
      <c r="A2" s="12"/>
      <c r="B2" s="13" t="s">
        <v>263</v>
      </c>
      <c r="C2" s="14"/>
      <c r="D2" s="14"/>
      <c r="E2" s="14"/>
      <c r="F2" s="5"/>
      <c r="G2" s="12"/>
      <c r="H2" s="12"/>
      <c r="I2" s="12"/>
      <c r="J2" s="12"/>
      <c r="K2" s="12"/>
      <c r="L2" s="12"/>
      <c r="M2" s="12"/>
      <c r="N2" s="12"/>
      <c r="O2" s="12"/>
      <c r="P2" s="12"/>
      <c r="Q2" s="12"/>
      <c r="R2" s="12"/>
      <c r="S2" s="12"/>
      <c r="T2" s="12"/>
      <c r="U2" s="12"/>
      <c r="V2" s="12"/>
      <c r="W2" s="12"/>
      <c r="X2" s="12"/>
      <c r="Y2" s="12"/>
      <c r="Z2" s="12"/>
    </row>
    <row r="3" ht="13.5" customHeight="1">
      <c r="A3" s="12"/>
      <c r="B3" s="12"/>
      <c r="C3" s="12"/>
      <c r="D3" s="12"/>
      <c r="E3" s="12"/>
      <c r="F3" s="12"/>
      <c r="G3" s="12"/>
      <c r="H3" s="12"/>
      <c r="I3" s="12"/>
      <c r="J3" s="12"/>
      <c r="K3" s="12"/>
      <c r="L3" s="12"/>
      <c r="M3" s="12"/>
      <c r="N3" s="12"/>
      <c r="O3" s="12"/>
      <c r="P3" s="12"/>
      <c r="Q3" s="12"/>
      <c r="R3" s="12"/>
      <c r="S3" s="12"/>
      <c r="T3" s="12"/>
      <c r="U3" s="12"/>
      <c r="V3" s="12"/>
      <c r="W3" s="12"/>
      <c r="X3" s="12"/>
      <c r="Y3" s="12"/>
      <c r="Z3" s="12"/>
    </row>
    <row r="4" ht="25.5" customHeight="1">
      <c r="A4" s="12"/>
      <c r="B4" s="16" t="s">
        <v>263</v>
      </c>
      <c r="C4" s="17"/>
      <c r="D4" s="18" t="s">
        <v>264</v>
      </c>
      <c r="E4" s="18" t="s">
        <v>265</v>
      </c>
      <c r="F4" s="18" t="s">
        <v>79</v>
      </c>
      <c r="G4" s="19"/>
      <c r="H4" s="20"/>
      <c r="I4" s="21"/>
      <c r="J4" s="12"/>
      <c r="K4" s="12"/>
      <c r="L4" s="12"/>
      <c r="M4" s="12"/>
      <c r="N4" s="12"/>
      <c r="O4" s="12"/>
      <c r="P4" s="12"/>
      <c r="Q4" s="12"/>
      <c r="R4" s="12"/>
      <c r="S4" s="12"/>
      <c r="T4" s="12"/>
      <c r="U4" s="12"/>
      <c r="V4" s="12"/>
      <c r="W4" s="12"/>
      <c r="X4" s="12"/>
      <c r="Y4" s="12"/>
      <c r="Z4" s="12"/>
    </row>
    <row r="5" ht="63.0" customHeight="1">
      <c r="A5" s="12"/>
      <c r="B5" s="22"/>
      <c r="C5" s="23"/>
      <c r="D5" s="24"/>
      <c r="E5" s="24"/>
      <c r="F5" s="24"/>
      <c r="G5" s="25"/>
      <c r="H5" s="26"/>
      <c r="I5" s="21"/>
      <c r="J5" s="12"/>
      <c r="K5" s="12"/>
      <c r="L5" s="12"/>
      <c r="M5" s="12"/>
      <c r="N5" s="12"/>
      <c r="O5" s="12"/>
      <c r="P5" s="12"/>
      <c r="Q5" s="12"/>
      <c r="R5" s="12"/>
      <c r="S5" s="12"/>
      <c r="T5" s="12"/>
      <c r="U5" s="12"/>
      <c r="V5" s="12"/>
      <c r="W5" s="12"/>
      <c r="X5" s="12"/>
      <c r="Y5" s="12"/>
      <c r="Z5" s="12"/>
    </row>
    <row r="6" ht="13.5" customHeight="1">
      <c r="A6" s="27"/>
      <c r="B6" s="28">
        <v>1.0</v>
      </c>
      <c r="C6" s="36" t="s">
        <v>221</v>
      </c>
      <c r="D6" s="30"/>
      <c r="E6" s="31" t="s">
        <v>119</v>
      </c>
      <c r="F6" s="39"/>
      <c r="G6" s="33"/>
      <c r="H6" s="34"/>
      <c r="I6" s="35"/>
      <c r="J6" s="27"/>
      <c r="K6" s="27"/>
      <c r="L6" s="27"/>
      <c r="M6" s="27"/>
      <c r="N6" s="27"/>
      <c r="O6" s="27"/>
      <c r="P6" s="27"/>
      <c r="Q6" s="27"/>
      <c r="R6" s="27"/>
      <c r="S6" s="27"/>
      <c r="T6" s="27"/>
      <c r="U6" s="27"/>
      <c r="V6" s="27"/>
      <c r="W6" s="27"/>
      <c r="X6" s="27"/>
      <c r="Y6" s="27"/>
      <c r="Z6" s="27"/>
    </row>
    <row r="7" ht="13.5" customHeight="1">
      <c r="A7" s="27"/>
      <c r="B7" s="28">
        <v>2.0</v>
      </c>
      <c r="C7" s="36" t="s">
        <v>222</v>
      </c>
      <c r="D7" s="30"/>
      <c r="E7" s="31" t="s">
        <v>82</v>
      </c>
      <c r="F7" s="32"/>
      <c r="G7" s="33"/>
      <c r="H7" s="34"/>
      <c r="I7" s="35"/>
      <c r="J7" s="27"/>
      <c r="K7" s="27"/>
      <c r="L7" s="27"/>
      <c r="M7" s="27"/>
      <c r="N7" s="27"/>
      <c r="O7" s="27"/>
      <c r="P7" s="27"/>
      <c r="Q7" s="27"/>
      <c r="R7" s="27"/>
      <c r="S7" s="27"/>
      <c r="T7" s="27"/>
      <c r="U7" s="27"/>
      <c r="V7" s="27"/>
      <c r="W7" s="27"/>
      <c r="X7" s="27"/>
      <c r="Y7" s="27"/>
      <c r="Z7" s="27"/>
    </row>
    <row r="8" ht="13.5" customHeight="1">
      <c r="A8" s="27"/>
      <c r="B8" s="28">
        <v>3.0</v>
      </c>
      <c r="C8" s="36" t="s">
        <v>266</v>
      </c>
      <c r="D8" s="30"/>
      <c r="E8" s="31" t="s">
        <v>119</v>
      </c>
      <c r="F8" s="32"/>
      <c r="G8" s="33"/>
      <c r="H8" s="34"/>
      <c r="I8" s="35"/>
      <c r="J8" s="27"/>
      <c r="K8" s="27"/>
      <c r="L8" s="27"/>
      <c r="M8" s="27"/>
      <c r="N8" s="27"/>
      <c r="O8" s="27"/>
      <c r="P8" s="27"/>
      <c r="Q8" s="27"/>
      <c r="R8" s="27"/>
      <c r="S8" s="27"/>
      <c r="T8" s="27"/>
      <c r="U8" s="27"/>
      <c r="V8" s="27"/>
      <c r="W8" s="27"/>
      <c r="X8" s="27"/>
      <c r="Y8" s="27"/>
      <c r="Z8" s="27"/>
    </row>
    <row r="9" ht="13.5" customHeight="1">
      <c r="A9" s="27"/>
      <c r="B9" s="28">
        <v>4.0</v>
      </c>
      <c r="C9" s="36" t="s">
        <v>267</v>
      </c>
      <c r="D9" s="30"/>
      <c r="E9" s="37"/>
      <c r="F9" s="49" t="s">
        <v>268</v>
      </c>
      <c r="G9" s="33"/>
      <c r="H9" s="34"/>
      <c r="I9" s="35"/>
      <c r="J9" s="27"/>
      <c r="K9" s="27"/>
      <c r="L9" s="27"/>
      <c r="M9" s="27"/>
      <c r="N9" s="27"/>
      <c r="O9" s="27"/>
      <c r="P9" s="27"/>
      <c r="Q9" s="27"/>
      <c r="R9" s="27"/>
      <c r="S9" s="27"/>
      <c r="T9" s="27"/>
      <c r="U9" s="27"/>
      <c r="V9" s="27"/>
      <c r="W9" s="27"/>
      <c r="X9" s="27"/>
      <c r="Y9" s="27"/>
      <c r="Z9" s="27"/>
    </row>
    <row r="10" ht="13.5" customHeight="1">
      <c r="A10" s="27"/>
      <c r="B10" s="28">
        <v>5.0</v>
      </c>
      <c r="C10" s="36" t="s">
        <v>269</v>
      </c>
      <c r="D10" s="30"/>
      <c r="E10" s="31" t="s">
        <v>119</v>
      </c>
      <c r="F10" s="32"/>
      <c r="G10" s="33"/>
      <c r="H10" s="34"/>
      <c r="I10" s="35"/>
      <c r="J10" s="27"/>
      <c r="K10" s="27"/>
      <c r="L10" s="27"/>
      <c r="M10" s="27"/>
      <c r="N10" s="27"/>
      <c r="O10" s="27"/>
      <c r="P10" s="27"/>
      <c r="Q10" s="27"/>
      <c r="R10" s="27"/>
      <c r="S10" s="27"/>
      <c r="T10" s="27"/>
      <c r="U10" s="27"/>
      <c r="V10" s="27"/>
      <c r="W10" s="27"/>
      <c r="X10" s="27"/>
      <c r="Y10" s="27"/>
      <c r="Z10" s="27"/>
    </row>
    <row r="11" ht="13.5" customHeight="1">
      <c r="A11" s="27"/>
      <c r="B11" s="28">
        <v>6.0</v>
      </c>
      <c r="C11" s="36" t="s">
        <v>270</v>
      </c>
      <c r="D11" s="30"/>
      <c r="E11" s="37"/>
      <c r="F11" s="49" t="s">
        <v>271</v>
      </c>
      <c r="G11" s="33"/>
      <c r="H11" s="34"/>
      <c r="I11" s="35"/>
      <c r="J11" s="27"/>
      <c r="K11" s="27"/>
      <c r="L11" s="27"/>
      <c r="M11" s="27"/>
      <c r="N11" s="27"/>
      <c r="O11" s="27"/>
      <c r="P11" s="27"/>
      <c r="Q11" s="27"/>
      <c r="R11" s="27"/>
      <c r="S11" s="27"/>
      <c r="T11" s="27"/>
      <c r="U11" s="27"/>
      <c r="V11" s="27"/>
      <c r="W11" s="27"/>
      <c r="X11" s="27"/>
      <c r="Y11" s="27"/>
      <c r="Z11" s="27"/>
    </row>
    <row r="12" ht="13.5" customHeight="1">
      <c r="A12" s="27"/>
      <c r="B12" s="28">
        <v>7.0</v>
      </c>
      <c r="C12" s="36" t="s">
        <v>272</v>
      </c>
      <c r="D12" s="30"/>
      <c r="E12" s="31" t="s">
        <v>82</v>
      </c>
      <c r="F12" s="32"/>
      <c r="G12" s="33"/>
      <c r="H12" s="34"/>
      <c r="I12" s="35"/>
      <c r="J12" s="27"/>
      <c r="K12" s="27"/>
      <c r="L12" s="27"/>
      <c r="M12" s="27"/>
      <c r="N12" s="27"/>
      <c r="O12" s="27"/>
      <c r="P12" s="27"/>
      <c r="Q12" s="27"/>
      <c r="R12" s="27"/>
      <c r="S12" s="27"/>
      <c r="T12" s="27"/>
      <c r="U12" s="27"/>
      <c r="V12" s="27"/>
      <c r="W12" s="27"/>
      <c r="X12" s="27"/>
      <c r="Y12" s="27"/>
      <c r="Z12" s="27"/>
    </row>
    <row r="13" ht="13.5" customHeight="1">
      <c r="A13" s="27"/>
      <c r="B13" s="28">
        <v>8.0</v>
      </c>
      <c r="C13" s="36" t="s">
        <v>273</v>
      </c>
      <c r="D13" s="30"/>
      <c r="E13" s="31" t="s">
        <v>82</v>
      </c>
      <c r="F13" s="49" t="s">
        <v>274</v>
      </c>
      <c r="G13" s="33"/>
      <c r="H13" s="34"/>
      <c r="I13" s="35"/>
      <c r="J13" s="27"/>
      <c r="K13" s="27"/>
      <c r="L13" s="27"/>
      <c r="M13" s="27"/>
      <c r="N13" s="27"/>
      <c r="O13" s="27"/>
      <c r="P13" s="27"/>
      <c r="Q13" s="27"/>
      <c r="R13" s="27"/>
      <c r="S13" s="27"/>
      <c r="T13" s="27"/>
      <c r="U13" s="27"/>
      <c r="V13" s="27"/>
      <c r="W13" s="27"/>
      <c r="X13" s="27"/>
      <c r="Y13" s="27"/>
      <c r="Z13" s="27"/>
    </row>
    <row r="14" ht="13.5" customHeight="1">
      <c r="A14" s="27"/>
      <c r="B14" s="28">
        <v>9.0</v>
      </c>
      <c r="C14" s="36" t="s">
        <v>275</v>
      </c>
      <c r="D14" s="30"/>
      <c r="E14" s="31" t="s">
        <v>119</v>
      </c>
      <c r="F14" s="49" t="s">
        <v>276</v>
      </c>
      <c r="G14" s="33"/>
      <c r="H14" s="34"/>
      <c r="I14" s="35"/>
      <c r="J14" s="27"/>
      <c r="K14" s="27"/>
      <c r="L14" s="27"/>
      <c r="M14" s="27"/>
      <c r="N14" s="27"/>
      <c r="O14" s="27"/>
      <c r="P14" s="27"/>
      <c r="Q14" s="27"/>
      <c r="R14" s="27"/>
      <c r="S14" s="27"/>
      <c r="T14" s="27"/>
      <c r="U14" s="27"/>
      <c r="V14" s="27"/>
      <c r="W14" s="27"/>
      <c r="X14" s="27"/>
      <c r="Y14" s="27"/>
      <c r="Z14" s="27"/>
    </row>
    <row r="15" ht="13.5" customHeight="1">
      <c r="A15" s="27"/>
      <c r="B15" s="28">
        <v>10.0</v>
      </c>
      <c r="C15" s="36" t="s">
        <v>277</v>
      </c>
      <c r="D15" s="30"/>
      <c r="E15" s="37"/>
      <c r="F15" s="49" t="s">
        <v>278</v>
      </c>
      <c r="G15" s="33"/>
      <c r="H15" s="34"/>
      <c r="I15" s="35"/>
      <c r="J15" s="27"/>
      <c r="K15" s="27"/>
      <c r="L15" s="27"/>
      <c r="M15" s="27"/>
      <c r="N15" s="27"/>
      <c r="O15" s="27"/>
      <c r="P15" s="27"/>
      <c r="Q15" s="27"/>
      <c r="R15" s="27"/>
      <c r="S15" s="27"/>
      <c r="T15" s="27"/>
      <c r="U15" s="27"/>
      <c r="V15" s="27"/>
      <c r="W15" s="27"/>
      <c r="X15" s="27"/>
      <c r="Y15" s="27"/>
      <c r="Z15" s="27"/>
    </row>
    <row r="16" ht="13.5" customHeight="1">
      <c r="A16" s="27"/>
      <c r="B16" s="28">
        <v>11.0</v>
      </c>
      <c r="C16" s="36" t="s">
        <v>279</v>
      </c>
      <c r="D16" s="30"/>
      <c r="E16" s="31" t="s">
        <v>119</v>
      </c>
      <c r="F16" s="32"/>
      <c r="G16" s="33"/>
      <c r="H16" s="34"/>
      <c r="I16" s="35"/>
      <c r="J16" s="27"/>
      <c r="K16" s="27"/>
      <c r="L16" s="27"/>
      <c r="M16" s="27"/>
      <c r="N16" s="27"/>
      <c r="O16" s="27"/>
      <c r="P16" s="27"/>
      <c r="Q16" s="27"/>
      <c r="R16" s="27"/>
      <c r="S16" s="27"/>
      <c r="T16" s="27"/>
      <c r="U16" s="27"/>
      <c r="V16" s="27"/>
      <c r="W16" s="27"/>
      <c r="X16" s="27"/>
      <c r="Y16" s="27"/>
      <c r="Z16" s="27"/>
    </row>
    <row r="17" ht="13.5" customHeight="1">
      <c r="A17" s="27"/>
      <c r="B17" s="28">
        <v>12.0</v>
      </c>
      <c r="C17" s="36" t="s">
        <v>280</v>
      </c>
      <c r="D17" s="30"/>
      <c r="E17" s="31" t="s">
        <v>85</v>
      </c>
      <c r="F17" s="49" t="s">
        <v>281</v>
      </c>
      <c r="G17" s="33"/>
      <c r="H17" s="34"/>
      <c r="I17" s="35"/>
      <c r="J17" s="27"/>
      <c r="K17" s="27"/>
      <c r="L17" s="27"/>
      <c r="M17" s="27"/>
      <c r="N17" s="27"/>
      <c r="O17" s="27"/>
      <c r="P17" s="27"/>
      <c r="Q17" s="27"/>
      <c r="R17" s="27"/>
      <c r="S17" s="27"/>
      <c r="T17" s="27"/>
      <c r="U17" s="27"/>
      <c r="V17" s="27"/>
      <c r="W17" s="27"/>
      <c r="X17" s="27"/>
      <c r="Y17" s="27"/>
      <c r="Z17" s="27"/>
    </row>
    <row r="18" ht="13.5" customHeight="1">
      <c r="A18" s="27"/>
      <c r="B18" s="28">
        <v>13.0</v>
      </c>
      <c r="C18" s="36" t="s">
        <v>282</v>
      </c>
      <c r="D18" s="30"/>
      <c r="E18" s="31" t="s">
        <v>119</v>
      </c>
      <c r="F18" s="32"/>
      <c r="G18" s="33"/>
      <c r="H18" s="34"/>
      <c r="I18" s="35"/>
      <c r="J18" s="27"/>
      <c r="K18" s="27"/>
      <c r="L18" s="27"/>
      <c r="M18" s="27"/>
      <c r="N18" s="27"/>
      <c r="O18" s="27"/>
      <c r="P18" s="27"/>
      <c r="Q18" s="27"/>
      <c r="R18" s="27"/>
      <c r="S18" s="27"/>
      <c r="T18" s="27"/>
      <c r="U18" s="27"/>
      <c r="V18" s="27"/>
      <c r="W18" s="27"/>
      <c r="X18" s="27"/>
      <c r="Y18" s="27"/>
      <c r="Z18" s="27"/>
    </row>
    <row r="19" ht="13.5" customHeight="1">
      <c r="A19" s="27"/>
      <c r="B19" s="28">
        <v>14.0</v>
      </c>
      <c r="C19" s="36" t="s">
        <v>283</v>
      </c>
      <c r="D19" s="30"/>
      <c r="E19" s="31" t="s">
        <v>119</v>
      </c>
      <c r="F19" s="32"/>
      <c r="G19" s="33"/>
      <c r="H19" s="34"/>
      <c r="I19" s="35"/>
      <c r="J19" s="27"/>
      <c r="K19" s="27"/>
      <c r="L19" s="27"/>
      <c r="M19" s="27"/>
      <c r="N19" s="27"/>
      <c r="O19" s="27"/>
      <c r="P19" s="27"/>
      <c r="Q19" s="27"/>
      <c r="R19" s="27"/>
      <c r="S19" s="27"/>
      <c r="T19" s="27"/>
      <c r="U19" s="27"/>
      <c r="V19" s="27"/>
      <c r="W19" s="27"/>
      <c r="X19" s="27"/>
      <c r="Y19" s="27"/>
      <c r="Z19" s="27"/>
    </row>
    <row r="20" ht="13.5" customHeight="1">
      <c r="A20" s="27"/>
      <c r="B20" s="28">
        <v>15.0</v>
      </c>
      <c r="C20" s="36" t="s">
        <v>284</v>
      </c>
      <c r="D20" s="30"/>
      <c r="E20" s="31" t="s">
        <v>119</v>
      </c>
      <c r="F20" s="32"/>
      <c r="G20" s="33"/>
      <c r="H20" s="34"/>
      <c r="I20" s="35"/>
      <c r="J20" s="27"/>
      <c r="K20" s="27"/>
      <c r="L20" s="27"/>
      <c r="M20" s="27"/>
      <c r="N20" s="27"/>
      <c r="O20" s="27"/>
      <c r="P20" s="27"/>
      <c r="Q20" s="27"/>
      <c r="R20" s="27"/>
      <c r="S20" s="27"/>
      <c r="T20" s="27"/>
      <c r="U20" s="27"/>
      <c r="V20" s="27"/>
      <c r="W20" s="27"/>
      <c r="X20" s="27"/>
      <c r="Y20" s="27"/>
      <c r="Z20" s="27"/>
    </row>
    <row r="21" ht="13.5" customHeight="1">
      <c r="A21" s="27"/>
      <c r="B21" s="28">
        <v>16.0</v>
      </c>
      <c r="C21" s="36" t="s">
        <v>285</v>
      </c>
      <c r="D21" s="30"/>
      <c r="E21" s="31" t="s">
        <v>119</v>
      </c>
      <c r="F21" s="32"/>
      <c r="G21" s="33"/>
      <c r="H21" s="34"/>
      <c r="I21" s="35"/>
      <c r="J21" s="27"/>
      <c r="K21" s="27"/>
      <c r="L21" s="27"/>
      <c r="M21" s="27"/>
      <c r="N21" s="27"/>
      <c r="O21" s="27"/>
      <c r="P21" s="27"/>
      <c r="Q21" s="27"/>
      <c r="R21" s="27"/>
      <c r="S21" s="27"/>
      <c r="T21" s="27"/>
      <c r="U21" s="27"/>
      <c r="V21" s="27"/>
      <c r="W21" s="27"/>
      <c r="X21" s="27"/>
      <c r="Y21" s="27"/>
      <c r="Z21" s="27"/>
    </row>
    <row r="22" ht="13.5" customHeight="1">
      <c r="A22" s="27"/>
      <c r="B22" s="28">
        <v>17.0</v>
      </c>
      <c r="C22" s="36" t="s">
        <v>286</v>
      </c>
      <c r="D22" s="30"/>
      <c r="E22" s="31" t="s">
        <v>82</v>
      </c>
      <c r="F22" s="49" t="s">
        <v>287</v>
      </c>
      <c r="G22" s="33"/>
      <c r="H22" s="34"/>
      <c r="I22" s="35"/>
      <c r="J22" s="27"/>
      <c r="K22" s="27"/>
      <c r="L22" s="27"/>
      <c r="M22" s="27"/>
      <c r="N22" s="27"/>
      <c r="O22" s="27"/>
      <c r="P22" s="27"/>
      <c r="Q22" s="27"/>
      <c r="R22" s="27"/>
      <c r="S22" s="27"/>
      <c r="T22" s="27"/>
      <c r="U22" s="27"/>
      <c r="V22" s="27"/>
      <c r="W22" s="27"/>
      <c r="X22" s="27"/>
      <c r="Y22" s="27"/>
      <c r="Z22" s="27"/>
    </row>
    <row r="23" ht="13.5" customHeight="1">
      <c r="A23" s="27"/>
      <c r="B23" s="28">
        <v>18.0</v>
      </c>
      <c r="C23" s="36" t="s">
        <v>288</v>
      </c>
      <c r="D23" s="30"/>
      <c r="E23" s="31" t="s">
        <v>82</v>
      </c>
      <c r="F23" s="32"/>
      <c r="G23" s="33"/>
      <c r="H23" s="34"/>
      <c r="I23" s="35"/>
      <c r="J23" s="27"/>
      <c r="K23" s="27"/>
      <c r="L23" s="27"/>
      <c r="M23" s="27"/>
      <c r="N23" s="27"/>
      <c r="O23" s="27"/>
      <c r="P23" s="27"/>
      <c r="Q23" s="27"/>
      <c r="R23" s="27"/>
      <c r="S23" s="27"/>
      <c r="T23" s="27"/>
      <c r="U23" s="27"/>
      <c r="V23" s="27"/>
      <c r="W23" s="27"/>
      <c r="X23" s="27"/>
      <c r="Y23" s="27"/>
      <c r="Z23" s="27"/>
    </row>
    <row r="24" ht="13.5" customHeight="1">
      <c r="A24" s="27"/>
      <c r="B24" s="28">
        <v>19.0</v>
      </c>
      <c r="C24" s="36" t="s">
        <v>289</v>
      </c>
      <c r="D24" s="30"/>
      <c r="E24" s="31"/>
      <c r="F24" s="49" t="s">
        <v>290</v>
      </c>
      <c r="G24" s="33"/>
      <c r="H24" s="34"/>
      <c r="I24" s="35"/>
      <c r="J24" s="27"/>
      <c r="K24" s="27"/>
      <c r="L24" s="27"/>
      <c r="M24" s="27"/>
      <c r="N24" s="27"/>
      <c r="O24" s="27"/>
      <c r="P24" s="27"/>
      <c r="Q24" s="27"/>
      <c r="R24" s="27"/>
      <c r="S24" s="27"/>
      <c r="T24" s="27"/>
      <c r="U24" s="27"/>
      <c r="V24" s="27"/>
      <c r="W24" s="27"/>
      <c r="X24" s="27"/>
      <c r="Y24" s="27"/>
      <c r="Z24" s="27"/>
    </row>
    <row r="25" ht="13.5" customHeight="1">
      <c r="A25" s="27"/>
      <c r="B25" s="28">
        <v>20.0</v>
      </c>
      <c r="C25" s="36" t="s">
        <v>291</v>
      </c>
      <c r="D25" s="30"/>
      <c r="E25" s="31" t="s">
        <v>216</v>
      </c>
      <c r="F25" s="49" t="s">
        <v>292</v>
      </c>
      <c r="G25" s="33"/>
      <c r="H25" s="34"/>
      <c r="I25" s="35"/>
      <c r="J25" s="27"/>
      <c r="K25" s="27"/>
      <c r="L25" s="27"/>
      <c r="M25" s="27"/>
      <c r="N25" s="27"/>
      <c r="O25" s="27"/>
      <c r="P25" s="27"/>
      <c r="Q25" s="27"/>
      <c r="R25" s="27"/>
      <c r="S25" s="27"/>
      <c r="T25" s="27"/>
      <c r="U25" s="27"/>
      <c r="V25" s="27"/>
      <c r="W25" s="27"/>
      <c r="X25" s="27"/>
      <c r="Y25" s="27"/>
      <c r="Z25" s="27"/>
    </row>
    <row r="26" ht="13.5" customHeight="1">
      <c r="A26" s="27"/>
      <c r="B26" s="28">
        <v>21.0</v>
      </c>
      <c r="C26" s="36" t="s">
        <v>293</v>
      </c>
      <c r="D26" s="30"/>
      <c r="E26" s="31" t="s">
        <v>119</v>
      </c>
      <c r="F26" s="49" t="s">
        <v>294</v>
      </c>
      <c r="G26" s="33"/>
      <c r="H26" s="34"/>
      <c r="I26" s="35"/>
      <c r="J26" s="27"/>
      <c r="K26" s="27"/>
      <c r="L26" s="27"/>
      <c r="M26" s="27"/>
      <c r="N26" s="27"/>
      <c r="O26" s="27"/>
      <c r="P26" s="27"/>
      <c r="Q26" s="27"/>
      <c r="R26" s="27"/>
      <c r="S26" s="27"/>
      <c r="T26" s="27"/>
      <c r="U26" s="27"/>
      <c r="V26" s="27"/>
      <c r="W26" s="27"/>
      <c r="X26" s="27"/>
      <c r="Y26" s="27"/>
      <c r="Z26" s="27"/>
    </row>
    <row r="27" ht="13.5" customHeight="1">
      <c r="A27" s="27"/>
      <c r="B27" s="28">
        <v>22.0</v>
      </c>
      <c r="C27" s="36" t="s">
        <v>295</v>
      </c>
      <c r="D27" s="30"/>
      <c r="E27" s="31" t="s">
        <v>119</v>
      </c>
      <c r="F27" s="32"/>
      <c r="G27" s="33"/>
      <c r="H27" s="34"/>
      <c r="I27" s="35"/>
      <c r="J27" s="27"/>
      <c r="K27" s="27"/>
      <c r="L27" s="27"/>
      <c r="M27" s="27"/>
      <c r="N27" s="27"/>
      <c r="O27" s="27"/>
      <c r="P27" s="27"/>
      <c r="Q27" s="27"/>
      <c r="R27" s="27"/>
      <c r="S27" s="27"/>
      <c r="T27" s="27"/>
      <c r="U27" s="27"/>
      <c r="V27" s="27"/>
      <c r="W27" s="27"/>
      <c r="X27" s="27"/>
      <c r="Y27" s="27"/>
      <c r="Z27" s="27"/>
    </row>
    <row r="28" ht="13.5" customHeight="1">
      <c r="A28" s="27"/>
      <c r="B28" s="28">
        <v>23.0</v>
      </c>
      <c r="C28" s="36" t="s">
        <v>296</v>
      </c>
      <c r="D28" s="30"/>
      <c r="E28" s="37"/>
      <c r="F28" s="49" t="s">
        <v>297</v>
      </c>
      <c r="G28" s="33"/>
      <c r="H28" s="34"/>
      <c r="I28" s="35"/>
      <c r="J28" s="27"/>
      <c r="K28" s="27"/>
      <c r="L28" s="27"/>
      <c r="M28" s="27"/>
      <c r="N28" s="27"/>
      <c r="O28" s="27"/>
      <c r="P28" s="27"/>
      <c r="Q28" s="27"/>
      <c r="R28" s="27"/>
      <c r="S28" s="27"/>
      <c r="T28" s="27"/>
      <c r="U28" s="27"/>
      <c r="V28" s="27"/>
      <c r="W28" s="27"/>
      <c r="X28" s="27"/>
      <c r="Y28" s="27"/>
      <c r="Z28" s="27"/>
    </row>
    <row r="29" ht="13.5" customHeight="1">
      <c r="A29" s="27"/>
      <c r="B29" s="28">
        <v>24.0</v>
      </c>
      <c r="C29" s="36" t="s">
        <v>298</v>
      </c>
      <c r="D29" s="30"/>
      <c r="E29" s="31" t="s">
        <v>82</v>
      </c>
      <c r="F29" s="49" t="s">
        <v>299</v>
      </c>
      <c r="G29" s="33"/>
      <c r="H29" s="34"/>
      <c r="I29" s="35"/>
      <c r="J29" s="27"/>
      <c r="K29" s="27"/>
      <c r="L29" s="27"/>
      <c r="M29" s="27"/>
      <c r="N29" s="27"/>
      <c r="O29" s="27"/>
      <c r="P29" s="27"/>
      <c r="Q29" s="27"/>
      <c r="R29" s="27"/>
      <c r="S29" s="27"/>
      <c r="T29" s="27"/>
      <c r="U29" s="27"/>
      <c r="V29" s="27"/>
      <c r="W29" s="27"/>
      <c r="X29" s="27"/>
      <c r="Y29" s="27"/>
      <c r="Z29" s="27"/>
    </row>
    <row r="30" ht="13.5" customHeight="1">
      <c r="A30" s="27"/>
      <c r="B30" s="28">
        <v>25.0</v>
      </c>
      <c r="C30" s="36" t="s">
        <v>300</v>
      </c>
      <c r="D30" s="30"/>
      <c r="E30" s="31" t="s">
        <v>119</v>
      </c>
      <c r="F30" s="32"/>
      <c r="G30" s="33"/>
      <c r="H30" s="34"/>
      <c r="I30" s="35"/>
      <c r="J30" s="27"/>
      <c r="K30" s="27"/>
      <c r="L30" s="27"/>
      <c r="M30" s="27"/>
      <c r="N30" s="27"/>
      <c r="O30" s="27"/>
      <c r="P30" s="27"/>
      <c r="Q30" s="27"/>
      <c r="R30" s="27"/>
      <c r="S30" s="27"/>
      <c r="T30" s="27"/>
      <c r="U30" s="27"/>
      <c r="V30" s="27"/>
      <c r="W30" s="27"/>
      <c r="X30" s="27"/>
      <c r="Y30" s="27"/>
      <c r="Z30" s="27"/>
    </row>
    <row r="31" ht="13.5" customHeight="1">
      <c r="A31" s="27"/>
      <c r="B31" s="28"/>
      <c r="C31" s="36"/>
      <c r="D31" s="30"/>
      <c r="E31" s="37"/>
      <c r="F31" s="32"/>
      <c r="G31" s="33"/>
      <c r="H31" s="34"/>
      <c r="I31" s="35"/>
      <c r="J31" s="27"/>
      <c r="K31" s="27"/>
      <c r="L31" s="27"/>
      <c r="M31" s="27"/>
      <c r="N31" s="27"/>
      <c r="O31" s="27"/>
      <c r="P31" s="27"/>
      <c r="Q31" s="27"/>
      <c r="R31" s="27"/>
      <c r="S31" s="27"/>
      <c r="T31" s="27"/>
      <c r="U31" s="27"/>
      <c r="V31" s="27"/>
      <c r="W31" s="27"/>
      <c r="X31" s="27"/>
      <c r="Y31" s="27"/>
      <c r="Z31" s="27"/>
    </row>
    <row r="32" ht="13.5" customHeight="1">
      <c r="A32" s="27"/>
      <c r="B32" s="28"/>
      <c r="C32" s="36"/>
      <c r="D32" s="30"/>
      <c r="E32" s="37"/>
      <c r="F32" s="32"/>
      <c r="G32" s="33"/>
      <c r="H32" s="34"/>
      <c r="I32" s="35"/>
      <c r="J32" s="27"/>
      <c r="K32" s="27"/>
      <c r="L32" s="27"/>
      <c r="M32" s="27"/>
      <c r="N32" s="27"/>
      <c r="O32" s="27"/>
      <c r="P32" s="27"/>
      <c r="Q32" s="27"/>
      <c r="R32" s="27"/>
      <c r="S32" s="27"/>
      <c r="T32" s="27"/>
      <c r="U32" s="27"/>
      <c r="V32" s="27"/>
      <c r="W32" s="27"/>
      <c r="X32" s="27"/>
      <c r="Y32" s="27"/>
      <c r="Z32" s="27"/>
    </row>
    <row r="33" ht="13.5" customHeight="1">
      <c r="A33" s="27"/>
      <c r="B33" s="28"/>
      <c r="C33" s="36"/>
      <c r="D33" s="30"/>
      <c r="E33" s="37"/>
      <c r="F33" s="32"/>
      <c r="G33" s="33"/>
      <c r="H33" s="34"/>
      <c r="I33" s="35"/>
      <c r="J33" s="27"/>
      <c r="K33" s="27"/>
      <c r="L33" s="27"/>
      <c r="M33" s="27"/>
      <c r="N33" s="27"/>
      <c r="O33" s="27"/>
      <c r="P33" s="27"/>
      <c r="Q33" s="27"/>
      <c r="R33" s="27"/>
      <c r="S33" s="27"/>
      <c r="T33" s="27"/>
      <c r="U33" s="27"/>
      <c r="V33" s="27"/>
      <c r="W33" s="27"/>
      <c r="X33" s="27"/>
      <c r="Y33" s="27"/>
      <c r="Z33" s="27"/>
    </row>
    <row r="34" ht="13.5" customHeight="1">
      <c r="A34" s="27"/>
      <c r="B34" s="28"/>
      <c r="C34" s="36"/>
      <c r="D34" s="30"/>
      <c r="E34" s="37"/>
      <c r="F34" s="32"/>
      <c r="G34" s="33"/>
      <c r="H34" s="34"/>
      <c r="I34" s="35"/>
      <c r="J34" s="27"/>
      <c r="K34" s="27"/>
      <c r="L34" s="27"/>
      <c r="M34" s="27"/>
      <c r="N34" s="27"/>
      <c r="O34" s="27"/>
      <c r="P34" s="27"/>
      <c r="Q34" s="27"/>
      <c r="R34" s="27"/>
      <c r="S34" s="27"/>
      <c r="T34" s="27"/>
      <c r="U34" s="27"/>
      <c r="V34" s="27"/>
      <c r="W34" s="27"/>
      <c r="X34" s="27"/>
      <c r="Y34" s="27"/>
      <c r="Z34" s="27"/>
    </row>
    <row r="35" ht="16.5" customHeight="1">
      <c r="A35" s="12"/>
      <c r="B35" s="43"/>
      <c r="C35" s="43"/>
      <c r="D35" s="43"/>
      <c r="E35" s="43"/>
      <c r="F35" s="43"/>
      <c r="G35" s="33"/>
      <c r="H35" s="34"/>
      <c r="I35" s="21"/>
      <c r="J35" s="12"/>
      <c r="K35" s="12"/>
      <c r="L35" s="12"/>
      <c r="M35" s="12"/>
      <c r="N35" s="12"/>
      <c r="O35" s="12"/>
      <c r="P35" s="12"/>
      <c r="Q35" s="12"/>
      <c r="R35" s="12"/>
      <c r="S35" s="12"/>
      <c r="T35" s="12"/>
      <c r="U35" s="12"/>
      <c r="V35" s="12"/>
      <c r="W35" s="12"/>
      <c r="X35" s="12"/>
      <c r="Y35" s="12"/>
      <c r="Z35" s="12"/>
    </row>
    <row r="36" ht="13.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3.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3.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3.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3.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3.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3.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3.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3.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3.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3.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3.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3.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3.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3.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3.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3.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3.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3.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3.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3.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3.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3.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3.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3.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3.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3.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3.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3.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3.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3.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3.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3.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3.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3.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3.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3.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3.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3.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3.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3.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3.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3.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3.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3.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3.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3.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3.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3.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3.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3.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3.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3.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3.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3.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3.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3.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3.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3.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3.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3.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3.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3.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3.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3.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3.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3.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3.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3.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3.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3.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3.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3.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3.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3.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3.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3.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3.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3.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3.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3.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3.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3.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3.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3.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3.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3.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3.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3.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3.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3.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3.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3.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3.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3.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3.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3.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3.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3.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3.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3.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3.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3.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3.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3.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3.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3.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3.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3.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3.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3.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3.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3.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3.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3.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3.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3.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3.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3.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3.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3.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3.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3.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3.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3.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3.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3.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3.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3.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3.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3.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3.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3.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3.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3.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3.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3.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3.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3.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3.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3.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3.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3.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3.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3.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3.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3.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3.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3.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3.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3.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3.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3.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3.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3.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3.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3.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3.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3.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3.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3.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3.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3.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3.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3.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3.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3.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3.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3.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3.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3.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3.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3.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3.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3.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3.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3.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3.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3.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3.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3.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3.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3.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3.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3.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3.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3.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3.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3.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3.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3.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3.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3.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3.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3.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3.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3.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3.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3.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3.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3.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3.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3.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3.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3.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3.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3.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3.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3.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3.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3.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3.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3.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3.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3.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3.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3.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3.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3.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3.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3.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3.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3.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3.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3.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3.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3.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3.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3.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3.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3.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3.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3.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3.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3.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3.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3.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3.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3.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3.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3.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3.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3.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3.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3.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3.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3.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3.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3.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3.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3.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3.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3.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3.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3.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3.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3.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3.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3.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3.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3.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3.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3.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3.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3.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3.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3.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3.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3.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3.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3.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3.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3.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3.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3.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3.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3.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3.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3.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3.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3.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3.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3.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3.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3.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3.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3.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3.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3.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3.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3.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3.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3.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3.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3.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3.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3.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3.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3.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3.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3.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3.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3.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3.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3.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3.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3.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3.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3.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3.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3.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3.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3.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3.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3.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3.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3.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3.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3.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3.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3.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3.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3.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3.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3.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3.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3.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3.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3.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3.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3.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3.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3.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3.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3.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3.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3.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3.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3.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3.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3.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3.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3.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3.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3.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3.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3.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3.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3.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3.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3.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3.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3.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3.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3.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3.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3.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3.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3.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3.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3.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3.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3.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3.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3.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3.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3.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3.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3.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3.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3.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3.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3.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3.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3.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3.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3.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3.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3.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3.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3.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3.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3.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3.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3.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3.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3.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3.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3.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3.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3.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3.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3.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3.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3.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3.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3.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3.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3.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3.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3.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3.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3.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3.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3.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3.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3.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3.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3.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3.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3.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3.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3.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3.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3.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3.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3.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3.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3.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3.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3.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3.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3.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3.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3.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3.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3.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3.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3.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3.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3.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3.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3.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3.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3.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3.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3.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3.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3.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3.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3.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3.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3.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3.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3.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3.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3.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3.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3.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3.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3.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3.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3.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3.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3.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3.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3.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3.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3.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3.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3.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3.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3.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3.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3.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3.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3.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3.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3.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3.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3.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3.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3.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3.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3.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3.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3.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3.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3.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3.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3.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3.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3.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3.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3.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3.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3.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3.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3.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3.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3.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3.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3.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3.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3.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3.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3.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3.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3.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3.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3.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3.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3.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3.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3.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3.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3.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3.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3.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3.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3.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3.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3.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3.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3.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3.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3.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3.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3.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3.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3.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3.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3.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3.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3.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3.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3.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3.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3.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3.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3.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3.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3.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3.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3.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3.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3.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3.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3.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3.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3.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3.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3.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3.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3.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3.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3.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3.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3.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3.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3.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3.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3.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3.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3.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3.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3.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3.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3.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3.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3.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3.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3.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3.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3.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3.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3.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3.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3.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3.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3.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3.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3.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3.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3.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3.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3.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3.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3.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3.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3.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3.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3.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3.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3.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3.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3.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3.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3.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3.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3.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3.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3.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3.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3.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3.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3.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3.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3.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3.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3.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3.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3.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3.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3.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3.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3.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3.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3.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3.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3.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3.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3.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3.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3.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3.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3.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3.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3.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3.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3.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3.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3.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3.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3.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3.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3.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3.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3.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3.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3.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3.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3.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3.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3.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3.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3.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3.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3.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3.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3.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3.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3.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3.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3.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3.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3.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3.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3.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3.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3.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3.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3.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3.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3.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3.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3.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3.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3.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3.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3.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3.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3.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3.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3.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3.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3.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3.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3.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3.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3.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3.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3.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3.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3.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3.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3.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3.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3.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3.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3.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3.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3.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3.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3.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3.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3.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3.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3.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3.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3.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3.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3.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3.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3.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3.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3.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3.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3.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3.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3.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3.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3.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3.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3.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3.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3.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3.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3.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3.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3.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3.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3.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3.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3.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3.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3.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3.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3.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3.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3.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3.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3.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3.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3.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3.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3.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3.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3.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3.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3.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3.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3.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3.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3.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3.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3.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3.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3.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3.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3.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3.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3.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3.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3.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3.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3.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3.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3.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3.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3.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3.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3.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3.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3.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3.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3.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3.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3.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3.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3.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3.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3.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3.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3.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3.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3.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3.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3.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3.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3.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3.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3.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3.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3.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3.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3.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3.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3.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3.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3.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3.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3.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3.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3.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3.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3.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3.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3.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3.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3.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3.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3.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3.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3.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3.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3.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3.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3.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3.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3.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3.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3.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3.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3.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3.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3.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3.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3.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3.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3.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3.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3.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3.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3.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3.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3.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3.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3.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3.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3.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3.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3.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3.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3.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3.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3.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3.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3.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3.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3.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3.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3.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3.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3.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3.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3.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3.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3.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3.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3.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3.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3.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3.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3.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3.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3.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3.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3.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3.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3.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3.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3.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3.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3.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3.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3.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3.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3.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3.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3.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3.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3.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3.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3.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3.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3.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3.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3.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3.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3.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3.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3.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3.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3.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3.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3.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3.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3.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3.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3.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3.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3.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3.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3.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3.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3.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3.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3.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3.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3.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3.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3.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3.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3.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3.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3.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3.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3.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3.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3.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3.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3.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3.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3.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3.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3.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3.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3.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3.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3.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3.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3.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3.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3.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3.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3.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3.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3.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3.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3.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3.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3.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3.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3.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3.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3.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3.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3.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3.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3.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3.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3.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3.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3.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3.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3.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3.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3.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3.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3.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3.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3.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3.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3.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3.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3.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3.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3.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3.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3.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3.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3.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3.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3.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3.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3.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3.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3.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3.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3.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3.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3.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3.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3.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6">
    <mergeCell ref="B2:F2"/>
    <mergeCell ref="B4:C5"/>
    <mergeCell ref="D4:D5"/>
    <mergeCell ref="E4:E5"/>
    <mergeCell ref="F4:F5"/>
    <mergeCell ref="G4:H4"/>
  </mergeCells>
  <dataValidations>
    <dataValidation type="list" allowBlank="1" showErrorMessage="1" sqref="E6:E34">
      <formula1>List_1</formula1>
    </dataValidation>
    <dataValidation type="list" allowBlank="1" showErrorMessage="1" sqref="D6:D34">
      <formula1>List_2</formula1>
    </dataValidation>
  </dataValidation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cols>
    <col customWidth="1" min="1" max="1" width="2.86"/>
    <col customWidth="1" min="2" max="2" width="7.43"/>
    <col customWidth="1" min="3" max="3" width="60.71"/>
    <col customWidth="1" min="4" max="4" width="18.86"/>
    <col customWidth="1" min="5" max="5" width="19.86"/>
    <col customWidth="1" min="6" max="6" width="41.43"/>
    <col customWidth="1" min="7" max="8" width="24.71"/>
    <col customWidth="1" min="9" max="26" width="9.14"/>
  </cols>
  <sheetData>
    <row r="1" ht="15.0"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ht="33.75" customHeight="1">
      <c r="A2" s="12"/>
      <c r="B2" s="13" t="s">
        <v>301</v>
      </c>
      <c r="C2" s="14"/>
      <c r="D2" s="14"/>
      <c r="E2" s="14"/>
      <c r="F2" s="5"/>
      <c r="G2" s="12"/>
      <c r="H2" s="12"/>
      <c r="I2" s="12"/>
      <c r="J2" s="12"/>
      <c r="K2" s="12"/>
      <c r="L2" s="12"/>
      <c r="M2" s="12"/>
      <c r="N2" s="12"/>
      <c r="O2" s="12"/>
      <c r="P2" s="12"/>
      <c r="Q2" s="12"/>
      <c r="R2" s="12"/>
      <c r="S2" s="12"/>
      <c r="T2" s="12"/>
      <c r="U2" s="12"/>
      <c r="V2" s="12"/>
      <c r="W2" s="12"/>
      <c r="X2" s="12"/>
      <c r="Y2" s="12"/>
      <c r="Z2" s="12"/>
    </row>
    <row r="3" ht="13.5" customHeight="1">
      <c r="A3" s="12"/>
      <c r="B3" s="12"/>
      <c r="C3" s="12"/>
      <c r="D3" s="12"/>
      <c r="E3" s="12"/>
      <c r="F3" s="12"/>
      <c r="G3" s="12"/>
      <c r="H3" s="12"/>
      <c r="I3" s="12"/>
      <c r="J3" s="12"/>
      <c r="K3" s="12"/>
      <c r="L3" s="12"/>
      <c r="M3" s="12"/>
      <c r="N3" s="12"/>
      <c r="O3" s="12"/>
      <c r="P3" s="12"/>
      <c r="Q3" s="12"/>
      <c r="R3" s="12"/>
      <c r="S3" s="12"/>
      <c r="T3" s="12"/>
      <c r="U3" s="12"/>
      <c r="V3" s="12"/>
      <c r="W3" s="12"/>
      <c r="X3" s="12"/>
      <c r="Y3" s="12"/>
      <c r="Z3" s="12"/>
    </row>
    <row r="4" ht="25.5" customHeight="1">
      <c r="A4" s="12"/>
      <c r="B4" s="16" t="s">
        <v>301</v>
      </c>
      <c r="C4" s="17"/>
      <c r="D4" s="18" t="s">
        <v>302</v>
      </c>
      <c r="E4" s="18" t="s">
        <v>303</v>
      </c>
      <c r="F4" s="18" t="s">
        <v>79</v>
      </c>
      <c r="G4" s="19"/>
      <c r="H4" s="20"/>
      <c r="I4" s="21"/>
      <c r="J4" s="12"/>
      <c r="K4" s="12"/>
      <c r="L4" s="12"/>
      <c r="M4" s="12"/>
      <c r="N4" s="12"/>
      <c r="O4" s="12"/>
      <c r="P4" s="12"/>
      <c r="Q4" s="12"/>
      <c r="R4" s="12"/>
      <c r="S4" s="12"/>
      <c r="T4" s="12"/>
      <c r="U4" s="12"/>
      <c r="V4" s="12"/>
      <c r="W4" s="12"/>
      <c r="X4" s="12"/>
      <c r="Y4" s="12"/>
      <c r="Z4" s="12"/>
    </row>
    <row r="5" ht="63.0" customHeight="1">
      <c r="A5" s="12"/>
      <c r="B5" s="22"/>
      <c r="C5" s="23"/>
      <c r="D5" s="24"/>
      <c r="E5" s="24"/>
      <c r="F5" s="24"/>
      <c r="G5" s="25"/>
      <c r="H5" s="26"/>
      <c r="I5" s="21"/>
      <c r="J5" s="12"/>
      <c r="K5" s="12"/>
      <c r="L5" s="12"/>
      <c r="M5" s="12"/>
      <c r="N5" s="12"/>
      <c r="O5" s="12"/>
      <c r="P5" s="12"/>
      <c r="Q5" s="12"/>
      <c r="R5" s="12"/>
      <c r="S5" s="12"/>
      <c r="T5" s="12"/>
      <c r="U5" s="12"/>
      <c r="V5" s="12"/>
      <c r="W5" s="12"/>
      <c r="X5" s="12"/>
      <c r="Y5" s="12"/>
      <c r="Z5" s="12"/>
    </row>
    <row r="6" ht="13.5" customHeight="1">
      <c r="A6" s="27"/>
      <c r="B6" s="28">
        <v>1.0</v>
      </c>
      <c r="C6" s="36" t="s">
        <v>304</v>
      </c>
      <c r="D6" s="30" t="s">
        <v>81</v>
      </c>
      <c r="E6" s="31" t="s">
        <v>119</v>
      </c>
      <c r="F6" s="32" t="s">
        <v>305</v>
      </c>
      <c r="G6" s="33"/>
      <c r="H6" s="34"/>
      <c r="I6" s="35"/>
      <c r="J6" s="27"/>
      <c r="K6" s="27"/>
      <c r="L6" s="27"/>
      <c r="M6" s="27"/>
      <c r="N6" s="27"/>
      <c r="O6" s="27"/>
      <c r="P6" s="27"/>
      <c r="Q6" s="27"/>
      <c r="R6" s="27"/>
      <c r="S6" s="27"/>
      <c r="T6" s="27"/>
      <c r="U6" s="27"/>
      <c r="V6" s="27"/>
      <c r="W6" s="27"/>
      <c r="X6" s="27"/>
      <c r="Y6" s="27"/>
      <c r="Z6" s="27"/>
    </row>
    <row r="7" ht="13.5" customHeight="1">
      <c r="A7" s="27"/>
      <c r="B7" s="28">
        <v>2.0</v>
      </c>
      <c r="C7" s="36" t="s">
        <v>306</v>
      </c>
      <c r="D7" s="30" t="s">
        <v>81</v>
      </c>
      <c r="E7" s="31" t="s">
        <v>119</v>
      </c>
      <c r="F7" s="32"/>
      <c r="G7" s="33"/>
      <c r="H7" s="34"/>
      <c r="I7" s="35"/>
      <c r="J7" s="27"/>
      <c r="K7" s="27"/>
      <c r="L7" s="27"/>
      <c r="M7" s="27"/>
      <c r="N7" s="27"/>
      <c r="O7" s="27"/>
      <c r="P7" s="27"/>
      <c r="Q7" s="27"/>
      <c r="R7" s="27"/>
      <c r="S7" s="27"/>
      <c r="T7" s="27"/>
      <c r="U7" s="27"/>
      <c r="V7" s="27"/>
      <c r="W7" s="27"/>
      <c r="X7" s="27"/>
      <c r="Y7" s="27"/>
      <c r="Z7" s="27"/>
    </row>
    <row r="8" ht="13.5" customHeight="1">
      <c r="A8" s="27"/>
      <c r="B8" s="28">
        <v>3.0</v>
      </c>
      <c r="C8" s="36" t="s">
        <v>307</v>
      </c>
      <c r="D8" s="30" t="s">
        <v>81</v>
      </c>
      <c r="E8" s="31" t="s">
        <v>119</v>
      </c>
      <c r="F8" s="32"/>
      <c r="G8" s="33"/>
      <c r="H8" s="34"/>
      <c r="I8" s="35"/>
      <c r="J8" s="27"/>
      <c r="K8" s="27"/>
      <c r="L8" s="27"/>
      <c r="M8" s="27"/>
      <c r="N8" s="27"/>
      <c r="O8" s="27"/>
      <c r="P8" s="27"/>
      <c r="Q8" s="27"/>
      <c r="R8" s="27"/>
      <c r="S8" s="27"/>
      <c r="T8" s="27"/>
      <c r="U8" s="27"/>
      <c r="V8" s="27"/>
      <c r="W8" s="27"/>
      <c r="X8" s="27"/>
      <c r="Y8" s="27"/>
      <c r="Z8" s="27"/>
    </row>
    <row r="9" ht="13.5" customHeight="1">
      <c r="A9" s="27"/>
      <c r="B9" s="28">
        <v>4.0</v>
      </c>
      <c r="C9" s="36" t="s">
        <v>308</v>
      </c>
      <c r="D9" s="30" t="s">
        <v>81</v>
      </c>
      <c r="E9" s="31" t="s">
        <v>119</v>
      </c>
      <c r="F9" s="32"/>
      <c r="G9" s="33"/>
      <c r="H9" s="34"/>
      <c r="I9" s="35"/>
      <c r="J9" s="27"/>
      <c r="K9" s="27"/>
      <c r="L9" s="27"/>
      <c r="M9" s="27"/>
      <c r="N9" s="27"/>
      <c r="O9" s="27"/>
      <c r="P9" s="27"/>
      <c r="Q9" s="27"/>
      <c r="R9" s="27"/>
      <c r="S9" s="27"/>
      <c r="T9" s="27"/>
      <c r="U9" s="27"/>
      <c r="V9" s="27"/>
      <c r="W9" s="27"/>
      <c r="X9" s="27"/>
      <c r="Y9" s="27"/>
      <c r="Z9" s="27"/>
    </row>
    <row r="10" ht="13.5" customHeight="1">
      <c r="A10" s="27"/>
      <c r="B10" s="28">
        <v>5.0</v>
      </c>
      <c r="C10" s="36" t="s">
        <v>309</v>
      </c>
      <c r="D10" s="30" t="s">
        <v>81</v>
      </c>
      <c r="E10" s="31" t="s">
        <v>119</v>
      </c>
      <c r="F10" s="32"/>
      <c r="G10" s="33"/>
      <c r="H10" s="34"/>
      <c r="I10" s="35"/>
      <c r="J10" s="27"/>
      <c r="K10" s="27"/>
      <c r="L10" s="27"/>
      <c r="M10" s="27"/>
      <c r="N10" s="27"/>
      <c r="O10" s="27"/>
      <c r="P10" s="27"/>
      <c r="Q10" s="27"/>
      <c r="R10" s="27"/>
      <c r="S10" s="27"/>
      <c r="T10" s="27"/>
      <c r="U10" s="27"/>
      <c r="V10" s="27"/>
      <c r="W10" s="27"/>
      <c r="X10" s="27"/>
      <c r="Y10" s="27"/>
      <c r="Z10" s="27"/>
    </row>
    <row r="11" ht="13.5" customHeight="1">
      <c r="A11" s="27"/>
      <c r="B11" s="28">
        <v>6.0</v>
      </c>
      <c r="C11" s="36" t="s">
        <v>310</v>
      </c>
      <c r="D11" s="30" t="s">
        <v>81</v>
      </c>
      <c r="E11" s="31" t="s">
        <v>119</v>
      </c>
      <c r="F11" s="32"/>
      <c r="G11" s="33"/>
      <c r="H11" s="34"/>
      <c r="I11" s="35"/>
      <c r="J11" s="27"/>
      <c r="K11" s="27"/>
      <c r="L11" s="27"/>
      <c r="M11" s="27"/>
      <c r="N11" s="27"/>
      <c r="O11" s="27"/>
      <c r="P11" s="27"/>
      <c r="Q11" s="27"/>
      <c r="R11" s="27"/>
      <c r="S11" s="27"/>
      <c r="T11" s="27"/>
      <c r="U11" s="27"/>
      <c r="V11" s="27"/>
      <c r="W11" s="27"/>
      <c r="X11" s="27"/>
      <c r="Y11" s="27"/>
      <c r="Z11" s="27"/>
    </row>
    <row r="12" ht="13.5" customHeight="1">
      <c r="A12" s="27"/>
      <c r="B12" s="28">
        <v>7.0</v>
      </c>
      <c r="C12" s="36" t="s">
        <v>311</v>
      </c>
      <c r="D12" s="30" t="s">
        <v>81</v>
      </c>
      <c r="E12" s="31" t="s">
        <v>119</v>
      </c>
      <c r="F12" s="32"/>
      <c r="G12" s="33"/>
      <c r="H12" s="34"/>
      <c r="I12" s="35"/>
      <c r="J12" s="27"/>
      <c r="K12" s="27"/>
      <c r="L12" s="27"/>
      <c r="M12" s="27"/>
      <c r="N12" s="27"/>
      <c r="O12" s="27"/>
      <c r="P12" s="27"/>
      <c r="Q12" s="27"/>
      <c r="R12" s="27"/>
      <c r="S12" s="27"/>
      <c r="T12" s="27"/>
      <c r="U12" s="27"/>
      <c r="V12" s="27"/>
      <c r="W12" s="27"/>
      <c r="X12" s="27"/>
      <c r="Y12" s="27"/>
      <c r="Z12" s="27"/>
    </row>
    <row r="13" ht="13.5" customHeight="1">
      <c r="A13" s="27"/>
      <c r="B13" s="28">
        <v>8.0</v>
      </c>
      <c r="C13" s="36" t="s">
        <v>312</v>
      </c>
      <c r="D13" s="30" t="s">
        <v>81</v>
      </c>
      <c r="E13" s="31" t="s">
        <v>119</v>
      </c>
      <c r="F13" s="32"/>
      <c r="G13" s="33"/>
      <c r="H13" s="34"/>
      <c r="I13" s="35"/>
      <c r="J13" s="27"/>
      <c r="K13" s="27"/>
      <c r="L13" s="27"/>
      <c r="M13" s="27"/>
      <c r="N13" s="27"/>
      <c r="O13" s="27"/>
      <c r="P13" s="27"/>
      <c r="Q13" s="27"/>
      <c r="R13" s="27"/>
      <c r="S13" s="27"/>
      <c r="T13" s="27"/>
      <c r="U13" s="27"/>
      <c r="V13" s="27"/>
      <c r="W13" s="27"/>
      <c r="X13" s="27"/>
      <c r="Y13" s="27"/>
      <c r="Z13" s="27"/>
    </row>
    <row r="14" ht="13.5" customHeight="1">
      <c r="A14" s="27"/>
      <c r="B14" s="28">
        <v>9.0</v>
      </c>
      <c r="C14" s="36" t="s">
        <v>313</v>
      </c>
      <c r="D14" s="30" t="s">
        <v>81</v>
      </c>
      <c r="E14" s="31" t="s">
        <v>119</v>
      </c>
      <c r="F14" s="32"/>
      <c r="G14" s="33"/>
      <c r="H14" s="34"/>
      <c r="I14" s="35"/>
      <c r="J14" s="27"/>
      <c r="K14" s="27"/>
      <c r="L14" s="27"/>
      <c r="M14" s="27"/>
      <c r="N14" s="27"/>
      <c r="O14" s="27"/>
      <c r="P14" s="27"/>
      <c r="Q14" s="27"/>
      <c r="R14" s="27"/>
      <c r="S14" s="27"/>
      <c r="T14" s="27"/>
      <c r="U14" s="27"/>
      <c r="V14" s="27"/>
      <c r="W14" s="27"/>
      <c r="X14" s="27"/>
      <c r="Y14" s="27"/>
      <c r="Z14" s="27"/>
    </row>
    <row r="15" ht="13.5" customHeight="1">
      <c r="A15" s="27"/>
      <c r="B15" s="28">
        <v>10.0</v>
      </c>
      <c r="C15" s="36" t="s">
        <v>314</v>
      </c>
      <c r="D15" s="30" t="s">
        <v>81</v>
      </c>
      <c r="E15" s="31" t="s">
        <v>119</v>
      </c>
      <c r="F15" s="32"/>
      <c r="G15" s="33"/>
      <c r="H15" s="34"/>
      <c r="I15" s="35"/>
      <c r="J15" s="27"/>
      <c r="K15" s="27"/>
      <c r="L15" s="27"/>
      <c r="M15" s="27"/>
      <c r="N15" s="27"/>
      <c r="O15" s="27"/>
      <c r="P15" s="27"/>
      <c r="Q15" s="27"/>
      <c r="R15" s="27"/>
      <c r="S15" s="27"/>
      <c r="T15" s="27"/>
      <c r="U15" s="27"/>
      <c r="V15" s="27"/>
      <c r="W15" s="27"/>
      <c r="X15" s="27"/>
      <c r="Y15" s="27"/>
      <c r="Z15" s="27"/>
    </row>
    <row r="16" ht="13.5" customHeight="1">
      <c r="A16" s="27"/>
      <c r="B16" s="28">
        <v>11.0</v>
      </c>
      <c r="C16" s="36" t="s">
        <v>315</v>
      </c>
      <c r="D16" s="30" t="s">
        <v>81</v>
      </c>
      <c r="E16" s="31" t="s">
        <v>119</v>
      </c>
      <c r="F16" s="32"/>
      <c r="G16" s="33"/>
      <c r="H16" s="34"/>
      <c r="I16" s="35"/>
      <c r="J16" s="27"/>
      <c r="K16" s="27"/>
      <c r="L16" s="27"/>
      <c r="M16" s="27"/>
      <c r="N16" s="27"/>
      <c r="O16" s="27"/>
      <c r="P16" s="27"/>
      <c r="Q16" s="27"/>
      <c r="R16" s="27"/>
      <c r="S16" s="27"/>
      <c r="T16" s="27"/>
      <c r="U16" s="27"/>
      <c r="V16" s="27"/>
      <c r="W16" s="27"/>
      <c r="X16" s="27"/>
      <c r="Y16" s="27"/>
      <c r="Z16" s="27"/>
    </row>
    <row r="17" ht="13.5" customHeight="1">
      <c r="A17" s="27"/>
      <c r="B17" s="28">
        <v>12.0</v>
      </c>
      <c r="C17" s="36" t="s">
        <v>316</v>
      </c>
      <c r="D17" s="30" t="s">
        <v>81</v>
      </c>
      <c r="E17" s="31" t="s">
        <v>82</v>
      </c>
      <c r="F17" s="32"/>
      <c r="G17" s="33"/>
      <c r="H17" s="34"/>
      <c r="I17" s="35"/>
      <c r="J17" s="27"/>
      <c r="K17" s="27"/>
      <c r="L17" s="27"/>
      <c r="M17" s="27"/>
      <c r="N17" s="27"/>
      <c r="O17" s="27"/>
      <c r="P17" s="27"/>
      <c r="Q17" s="27"/>
      <c r="R17" s="27"/>
      <c r="S17" s="27"/>
      <c r="T17" s="27"/>
      <c r="U17" s="27"/>
      <c r="V17" s="27"/>
      <c r="W17" s="27"/>
      <c r="X17" s="27"/>
      <c r="Y17" s="27"/>
      <c r="Z17" s="27"/>
    </row>
    <row r="18" ht="13.5" customHeight="1">
      <c r="A18" s="27"/>
      <c r="B18" s="28">
        <v>13.0</v>
      </c>
      <c r="C18" s="36" t="s">
        <v>317</v>
      </c>
      <c r="D18" s="30" t="s">
        <v>81</v>
      </c>
      <c r="E18" s="37"/>
      <c r="F18" s="32"/>
      <c r="G18" s="33"/>
      <c r="H18" s="34"/>
      <c r="I18" s="35"/>
      <c r="J18" s="27"/>
      <c r="K18" s="27"/>
      <c r="L18" s="27"/>
      <c r="M18" s="27"/>
      <c r="N18" s="27"/>
      <c r="O18" s="27"/>
      <c r="P18" s="27"/>
      <c r="Q18" s="27"/>
      <c r="R18" s="27"/>
      <c r="S18" s="27"/>
      <c r="T18" s="27"/>
      <c r="U18" s="27"/>
      <c r="V18" s="27"/>
      <c r="W18" s="27"/>
      <c r="X18" s="27"/>
      <c r="Y18" s="27"/>
      <c r="Z18" s="27"/>
    </row>
    <row r="19" ht="13.5" customHeight="1">
      <c r="A19" s="27"/>
      <c r="B19" s="28">
        <v>14.0</v>
      </c>
      <c r="C19" s="36" t="s">
        <v>318</v>
      </c>
      <c r="D19" s="30" t="s">
        <v>81</v>
      </c>
      <c r="E19" s="37"/>
      <c r="F19" s="32"/>
      <c r="G19" s="33"/>
      <c r="H19" s="34"/>
      <c r="I19" s="35"/>
      <c r="J19" s="27"/>
      <c r="K19" s="27"/>
      <c r="L19" s="27"/>
      <c r="M19" s="27"/>
      <c r="N19" s="27"/>
      <c r="O19" s="27"/>
      <c r="P19" s="27"/>
      <c r="Q19" s="27"/>
      <c r="R19" s="27"/>
      <c r="S19" s="27"/>
      <c r="T19" s="27"/>
      <c r="U19" s="27"/>
      <c r="V19" s="27"/>
      <c r="W19" s="27"/>
      <c r="X19" s="27"/>
      <c r="Y19" s="27"/>
      <c r="Z19" s="27"/>
    </row>
    <row r="20" ht="13.5" customHeight="1">
      <c r="A20" s="27"/>
      <c r="B20" s="28">
        <v>15.0</v>
      </c>
      <c r="C20" s="36" t="s">
        <v>319</v>
      </c>
      <c r="D20" s="30" t="s">
        <v>81</v>
      </c>
      <c r="E20" s="37"/>
      <c r="F20" s="32"/>
      <c r="G20" s="33"/>
      <c r="H20" s="34"/>
      <c r="I20" s="35"/>
      <c r="J20" s="27"/>
      <c r="K20" s="27"/>
      <c r="L20" s="27"/>
      <c r="M20" s="27"/>
      <c r="N20" s="27"/>
      <c r="O20" s="27"/>
      <c r="P20" s="27"/>
      <c r="Q20" s="27"/>
      <c r="R20" s="27"/>
      <c r="S20" s="27"/>
      <c r="T20" s="27"/>
      <c r="U20" s="27"/>
      <c r="V20" s="27"/>
      <c r="W20" s="27"/>
      <c r="X20" s="27"/>
      <c r="Y20" s="27"/>
      <c r="Z20" s="27"/>
    </row>
    <row r="21" ht="13.5" customHeight="1">
      <c r="A21" s="27"/>
      <c r="B21" s="28">
        <v>16.0</v>
      </c>
      <c r="C21" s="36"/>
      <c r="D21" s="30"/>
      <c r="E21" s="37"/>
      <c r="F21" s="32"/>
      <c r="G21" s="33"/>
      <c r="H21" s="34"/>
      <c r="I21" s="35"/>
      <c r="J21" s="27"/>
      <c r="K21" s="27"/>
      <c r="L21" s="27"/>
      <c r="M21" s="27"/>
      <c r="N21" s="27"/>
      <c r="O21" s="27"/>
      <c r="P21" s="27"/>
      <c r="Q21" s="27"/>
      <c r="R21" s="27"/>
      <c r="S21" s="27"/>
      <c r="T21" s="27"/>
      <c r="U21" s="27"/>
      <c r="V21" s="27"/>
      <c r="W21" s="27"/>
      <c r="X21" s="27"/>
      <c r="Y21" s="27"/>
      <c r="Z21" s="27"/>
    </row>
    <row r="22" ht="13.5" customHeight="1">
      <c r="A22" s="27"/>
      <c r="B22" s="28">
        <v>17.0</v>
      </c>
      <c r="C22" s="36"/>
      <c r="D22" s="30"/>
      <c r="E22" s="37"/>
      <c r="F22" s="32"/>
      <c r="G22" s="33"/>
      <c r="H22" s="34"/>
      <c r="I22" s="35"/>
      <c r="J22" s="27"/>
      <c r="K22" s="27"/>
      <c r="L22" s="27"/>
      <c r="M22" s="27"/>
      <c r="N22" s="27"/>
      <c r="O22" s="27"/>
      <c r="P22" s="27"/>
      <c r="Q22" s="27"/>
      <c r="R22" s="27"/>
      <c r="S22" s="27"/>
      <c r="T22" s="27"/>
      <c r="U22" s="27"/>
      <c r="V22" s="27"/>
      <c r="W22" s="27"/>
      <c r="X22" s="27"/>
      <c r="Y22" s="27"/>
      <c r="Z22" s="27"/>
    </row>
    <row r="23" ht="13.5" customHeight="1">
      <c r="A23" s="27"/>
      <c r="B23" s="28">
        <v>18.0</v>
      </c>
      <c r="C23" s="36"/>
      <c r="D23" s="30"/>
      <c r="E23" s="37"/>
      <c r="F23" s="32"/>
      <c r="G23" s="33"/>
      <c r="H23" s="34"/>
      <c r="I23" s="35"/>
      <c r="J23" s="27"/>
      <c r="K23" s="27"/>
      <c r="L23" s="27"/>
      <c r="M23" s="27"/>
      <c r="N23" s="27"/>
      <c r="O23" s="27"/>
      <c r="P23" s="27"/>
      <c r="Q23" s="27"/>
      <c r="R23" s="27"/>
      <c r="S23" s="27"/>
      <c r="T23" s="27"/>
      <c r="U23" s="27"/>
      <c r="V23" s="27"/>
      <c r="W23" s="27"/>
      <c r="X23" s="27"/>
      <c r="Y23" s="27"/>
      <c r="Z23" s="27"/>
    </row>
    <row r="24" ht="13.5" customHeight="1">
      <c r="A24" s="27"/>
      <c r="B24" s="28">
        <v>19.0</v>
      </c>
      <c r="C24" s="36"/>
      <c r="D24" s="30"/>
      <c r="E24" s="37"/>
      <c r="F24" s="32"/>
      <c r="G24" s="33"/>
      <c r="H24" s="34"/>
      <c r="I24" s="35"/>
      <c r="J24" s="27"/>
      <c r="K24" s="27"/>
      <c r="L24" s="27"/>
      <c r="M24" s="27"/>
      <c r="N24" s="27"/>
      <c r="O24" s="27"/>
      <c r="P24" s="27"/>
      <c r="Q24" s="27"/>
      <c r="R24" s="27"/>
      <c r="S24" s="27"/>
      <c r="T24" s="27"/>
      <c r="U24" s="27"/>
      <c r="V24" s="27"/>
      <c r="W24" s="27"/>
      <c r="X24" s="27"/>
      <c r="Y24" s="27"/>
      <c r="Z24" s="27"/>
    </row>
    <row r="25" ht="13.5" customHeight="1">
      <c r="A25" s="27"/>
      <c r="B25" s="28">
        <v>20.0</v>
      </c>
      <c r="C25" s="36"/>
      <c r="D25" s="30"/>
      <c r="E25" s="37"/>
      <c r="F25" s="32"/>
      <c r="G25" s="33"/>
      <c r="H25" s="34"/>
      <c r="I25" s="35"/>
      <c r="J25" s="27"/>
      <c r="K25" s="27"/>
      <c r="L25" s="27"/>
      <c r="M25" s="27"/>
      <c r="N25" s="27"/>
      <c r="O25" s="27"/>
      <c r="P25" s="27"/>
      <c r="Q25" s="27"/>
      <c r="R25" s="27"/>
      <c r="S25" s="27"/>
      <c r="T25" s="27"/>
      <c r="U25" s="27"/>
      <c r="V25" s="27"/>
      <c r="W25" s="27"/>
      <c r="X25" s="27"/>
      <c r="Y25" s="27"/>
      <c r="Z25" s="27"/>
    </row>
    <row r="26" ht="13.5" customHeight="1">
      <c r="A26" s="27"/>
      <c r="B26" s="28">
        <v>21.0</v>
      </c>
      <c r="C26" s="36"/>
      <c r="D26" s="30"/>
      <c r="E26" s="37"/>
      <c r="F26" s="32"/>
      <c r="G26" s="33"/>
      <c r="H26" s="34"/>
      <c r="I26" s="35"/>
      <c r="J26" s="27"/>
      <c r="K26" s="27"/>
      <c r="L26" s="27"/>
      <c r="M26" s="27"/>
      <c r="N26" s="27"/>
      <c r="O26" s="27"/>
      <c r="P26" s="27"/>
      <c r="Q26" s="27"/>
      <c r="R26" s="27"/>
      <c r="S26" s="27"/>
      <c r="T26" s="27"/>
      <c r="U26" s="27"/>
      <c r="V26" s="27"/>
      <c r="W26" s="27"/>
      <c r="X26" s="27"/>
      <c r="Y26" s="27"/>
      <c r="Z26" s="27"/>
    </row>
    <row r="27" ht="13.5" customHeight="1">
      <c r="A27" s="27"/>
      <c r="B27" s="28">
        <v>22.0</v>
      </c>
      <c r="C27" s="36"/>
      <c r="D27" s="30"/>
      <c r="E27" s="37"/>
      <c r="F27" s="32"/>
      <c r="G27" s="33"/>
      <c r="H27" s="34"/>
      <c r="I27" s="35"/>
      <c r="J27" s="27"/>
      <c r="K27" s="27"/>
      <c r="L27" s="27"/>
      <c r="M27" s="27"/>
      <c r="N27" s="27"/>
      <c r="O27" s="27"/>
      <c r="P27" s="27"/>
      <c r="Q27" s="27"/>
      <c r="R27" s="27"/>
      <c r="S27" s="27"/>
      <c r="T27" s="27"/>
      <c r="U27" s="27"/>
      <c r="V27" s="27"/>
      <c r="W27" s="27"/>
      <c r="X27" s="27"/>
      <c r="Y27" s="27"/>
      <c r="Z27" s="27"/>
    </row>
    <row r="28" ht="13.5" customHeight="1">
      <c r="A28" s="27"/>
      <c r="B28" s="28">
        <v>23.0</v>
      </c>
      <c r="C28" s="36"/>
      <c r="D28" s="30"/>
      <c r="E28" s="37"/>
      <c r="F28" s="32"/>
      <c r="G28" s="33"/>
      <c r="H28" s="34"/>
      <c r="I28" s="35"/>
      <c r="J28" s="27"/>
      <c r="K28" s="27"/>
      <c r="L28" s="27"/>
      <c r="M28" s="27"/>
      <c r="N28" s="27"/>
      <c r="O28" s="27"/>
      <c r="P28" s="27"/>
      <c r="Q28" s="27"/>
      <c r="R28" s="27"/>
      <c r="S28" s="27"/>
      <c r="T28" s="27"/>
      <c r="U28" s="27"/>
      <c r="V28" s="27"/>
      <c r="W28" s="27"/>
      <c r="X28" s="27"/>
      <c r="Y28" s="27"/>
      <c r="Z28" s="27"/>
    </row>
    <row r="29" ht="13.5" customHeight="1">
      <c r="A29" s="27"/>
      <c r="B29" s="28">
        <v>24.0</v>
      </c>
      <c r="C29" s="36"/>
      <c r="D29" s="30"/>
      <c r="E29" s="37"/>
      <c r="F29" s="32"/>
      <c r="G29" s="33"/>
      <c r="H29" s="34"/>
      <c r="I29" s="35"/>
      <c r="J29" s="27"/>
      <c r="K29" s="27"/>
      <c r="L29" s="27"/>
      <c r="M29" s="27"/>
      <c r="N29" s="27"/>
      <c r="O29" s="27"/>
      <c r="P29" s="27"/>
      <c r="Q29" s="27"/>
      <c r="R29" s="27"/>
      <c r="S29" s="27"/>
      <c r="T29" s="27"/>
      <c r="U29" s="27"/>
      <c r="V29" s="27"/>
      <c r="W29" s="27"/>
      <c r="X29" s="27"/>
      <c r="Y29" s="27"/>
      <c r="Z29" s="27"/>
    </row>
    <row r="30" ht="13.5" customHeight="1">
      <c r="A30" s="27"/>
      <c r="B30" s="28">
        <v>25.0</v>
      </c>
      <c r="C30" s="36"/>
      <c r="D30" s="30"/>
      <c r="E30" s="37"/>
      <c r="F30" s="32"/>
      <c r="G30" s="33"/>
      <c r="H30" s="34"/>
      <c r="I30" s="35"/>
      <c r="J30" s="27"/>
      <c r="K30" s="27"/>
      <c r="L30" s="27"/>
      <c r="M30" s="27"/>
      <c r="N30" s="27"/>
      <c r="O30" s="27"/>
      <c r="P30" s="27"/>
      <c r="Q30" s="27"/>
      <c r="R30" s="27"/>
      <c r="S30" s="27"/>
      <c r="T30" s="27"/>
      <c r="U30" s="27"/>
      <c r="V30" s="27"/>
      <c r="W30" s="27"/>
      <c r="X30" s="27"/>
      <c r="Y30" s="27"/>
      <c r="Z30" s="27"/>
    </row>
    <row r="31" ht="13.5" customHeight="1">
      <c r="A31" s="27"/>
      <c r="B31" s="28"/>
      <c r="C31" s="36"/>
      <c r="D31" s="30"/>
      <c r="E31" s="37"/>
      <c r="F31" s="32"/>
      <c r="G31" s="33"/>
      <c r="H31" s="34"/>
      <c r="I31" s="35"/>
      <c r="J31" s="27"/>
      <c r="K31" s="27"/>
      <c r="L31" s="27"/>
      <c r="M31" s="27"/>
      <c r="N31" s="27"/>
      <c r="O31" s="27"/>
      <c r="P31" s="27"/>
      <c r="Q31" s="27"/>
      <c r="R31" s="27"/>
      <c r="S31" s="27"/>
      <c r="T31" s="27"/>
      <c r="U31" s="27"/>
      <c r="V31" s="27"/>
      <c r="W31" s="27"/>
      <c r="X31" s="27"/>
      <c r="Y31" s="27"/>
      <c r="Z31" s="27"/>
    </row>
    <row r="32" ht="13.5" customHeight="1">
      <c r="A32" s="27"/>
      <c r="B32" s="28"/>
      <c r="C32" s="36"/>
      <c r="D32" s="30"/>
      <c r="E32" s="37"/>
      <c r="F32" s="32"/>
      <c r="G32" s="33"/>
      <c r="H32" s="34"/>
      <c r="I32" s="35"/>
      <c r="J32" s="27"/>
      <c r="K32" s="27"/>
      <c r="L32" s="27"/>
      <c r="M32" s="27"/>
      <c r="N32" s="27"/>
      <c r="O32" s="27"/>
      <c r="P32" s="27"/>
      <c r="Q32" s="27"/>
      <c r="R32" s="27"/>
      <c r="S32" s="27"/>
      <c r="T32" s="27"/>
      <c r="U32" s="27"/>
      <c r="V32" s="27"/>
      <c r="W32" s="27"/>
      <c r="X32" s="27"/>
      <c r="Y32" s="27"/>
      <c r="Z32" s="27"/>
    </row>
    <row r="33" ht="13.5" customHeight="1">
      <c r="A33" s="27"/>
      <c r="B33" s="28"/>
      <c r="C33" s="36"/>
      <c r="D33" s="30"/>
      <c r="E33" s="37"/>
      <c r="F33" s="32"/>
      <c r="G33" s="33"/>
      <c r="H33" s="34"/>
      <c r="I33" s="35"/>
      <c r="J33" s="27"/>
      <c r="K33" s="27"/>
      <c r="L33" s="27"/>
      <c r="M33" s="27"/>
      <c r="N33" s="27"/>
      <c r="O33" s="27"/>
      <c r="P33" s="27"/>
      <c r="Q33" s="27"/>
      <c r="R33" s="27"/>
      <c r="S33" s="27"/>
      <c r="T33" s="27"/>
      <c r="U33" s="27"/>
      <c r="V33" s="27"/>
      <c r="W33" s="27"/>
      <c r="X33" s="27"/>
      <c r="Y33" s="27"/>
      <c r="Z33" s="27"/>
    </row>
    <row r="34" ht="13.5" customHeight="1">
      <c r="A34" s="27"/>
      <c r="B34" s="28"/>
      <c r="C34" s="36"/>
      <c r="D34" s="30"/>
      <c r="E34" s="37"/>
      <c r="F34" s="32"/>
      <c r="G34" s="33"/>
      <c r="H34" s="34"/>
      <c r="I34" s="35"/>
      <c r="J34" s="27"/>
      <c r="K34" s="27"/>
      <c r="L34" s="27"/>
      <c r="M34" s="27"/>
      <c r="N34" s="27"/>
      <c r="O34" s="27"/>
      <c r="P34" s="27"/>
      <c r="Q34" s="27"/>
      <c r="R34" s="27"/>
      <c r="S34" s="27"/>
      <c r="T34" s="27"/>
      <c r="U34" s="27"/>
      <c r="V34" s="27"/>
      <c r="W34" s="27"/>
      <c r="X34" s="27"/>
      <c r="Y34" s="27"/>
      <c r="Z34" s="27"/>
    </row>
    <row r="35" ht="16.5" customHeight="1">
      <c r="A35" s="12"/>
      <c r="B35" s="43"/>
      <c r="C35" s="43"/>
      <c r="D35" s="43"/>
      <c r="E35" s="43"/>
      <c r="F35" s="43"/>
      <c r="G35" s="33"/>
      <c r="H35" s="34"/>
      <c r="I35" s="21"/>
      <c r="J35" s="12"/>
      <c r="K35" s="12"/>
      <c r="L35" s="12"/>
      <c r="M35" s="12"/>
      <c r="N35" s="12"/>
      <c r="O35" s="12"/>
      <c r="P35" s="12"/>
      <c r="Q35" s="12"/>
      <c r="R35" s="12"/>
      <c r="S35" s="12"/>
      <c r="T35" s="12"/>
      <c r="U35" s="12"/>
      <c r="V35" s="12"/>
      <c r="W35" s="12"/>
      <c r="X35" s="12"/>
      <c r="Y35" s="12"/>
      <c r="Z35" s="12"/>
    </row>
    <row r="36" ht="13.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3.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3.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3.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3.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3.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3.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3.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3.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3.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3.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3.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3.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3.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3.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3.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3.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3.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3.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3.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3.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3.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3.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3.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3.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3.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3.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3.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3.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3.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3.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3.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3.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3.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3.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3.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3.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3.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3.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3.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3.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3.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3.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3.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3.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3.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3.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3.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3.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3.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3.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3.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3.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3.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3.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3.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3.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3.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3.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3.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3.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3.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3.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3.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3.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3.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3.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3.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3.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3.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3.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3.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3.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3.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3.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3.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3.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3.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3.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3.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3.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3.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3.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3.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3.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3.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3.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3.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3.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3.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3.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3.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3.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3.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3.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3.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3.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3.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3.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3.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3.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3.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3.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3.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3.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3.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3.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3.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3.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3.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3.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3.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3.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3.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3.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3.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3.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3.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3.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3.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3.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3.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3.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3.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3.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3.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3.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3.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3.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3.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3.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3.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3.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3.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3.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3.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3.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3.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3.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3.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3.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3.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3.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3.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3.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3.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3.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3.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3.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3.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3.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3.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3.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3.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3.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3.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3.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3.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3.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3.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3.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3.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3.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3.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3.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3.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3.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3.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3.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3.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3.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3.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3.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3.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3.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3.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3.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3.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3.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3.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3.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3.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3.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3.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3.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3.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3.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3.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3.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3.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3.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3.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3.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3.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3.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3.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3.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3.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3.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3.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3.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3.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3.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3.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3.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3.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3.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3.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3.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3.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3.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3.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3.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3.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3.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3.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3.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3.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3.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3.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3.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3.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3.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3.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3.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3.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3.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3.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3.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3.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3.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3.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3.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3.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3.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3.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3.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3.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3.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3.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3.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3.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3.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3.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3.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3.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3.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3.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3.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3.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3.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3.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3.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3.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3.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3.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3.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3.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3.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3.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3.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3.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3.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3.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3.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3.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3.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3.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3.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3.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3.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3.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3.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3.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3.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3.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3.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3.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3.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3.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3.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3.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3.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3.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3.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3.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3.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3.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3.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3.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3.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3.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3.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3.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3.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3.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3.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3.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3.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3.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3.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3.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3.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3.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3.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3.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3.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3.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3.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3.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3.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3.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3.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3.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3.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3.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3.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3.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3.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3.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3.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3.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3.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3.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3.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3.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3.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3.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3.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3.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3.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3.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3.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3.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3.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3.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3.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3.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3.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3.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3.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3.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3.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3.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3.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3.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3.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3.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3.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3.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3.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3.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3.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3.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3.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3.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3.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3.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3.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3.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3.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3.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3.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3.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3.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3.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3.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3.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3.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3.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3.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3.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3.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3.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3.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3.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3.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3.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3.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3.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3.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3.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3.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3.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3.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3.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3.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3.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3.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3.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3.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3.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3.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3.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3.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3.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3.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3.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3.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3.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3.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3.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3.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3.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3.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3.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3.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3.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3.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3.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3.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3.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3.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3.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3.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3.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3.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3.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3.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3.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3.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3.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3.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3.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3.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3.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3.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3.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3.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3.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3.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3.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3.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3.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3.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3.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3.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3.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3.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3.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3.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3.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3.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3.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3.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3.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3.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3.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3.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3.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3.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3.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3.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3.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3.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3.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3.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3.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3.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3.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3.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3.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3.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3.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3.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3.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3.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3.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3.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3.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3.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3.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3.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3.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3.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3.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3.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3.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3.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3.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3.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3.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3.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3.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3.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3.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3.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3.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3.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3.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3.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3.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3.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3.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3.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3.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3.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3.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3.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3.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3.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3.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3.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3.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3.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3.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3.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3.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3.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3.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3.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3.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3.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3.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3.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3.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3.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3.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3.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3.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3.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3.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3.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3.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3.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3.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3.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3.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3.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3.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3.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3.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3.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3.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3.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3.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3.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3.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3.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3.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3.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3.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3.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3.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3.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3.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3.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3.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3.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3.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3.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3.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3.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3.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3.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3.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3.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3.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3.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3.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3.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3.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3.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3.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3.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3.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3.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3.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3.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3.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3.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3.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3.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3.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3.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3.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3.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3.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3.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3.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3.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3.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3.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3.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3.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3.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3.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3.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3.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3.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3.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3.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3.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3.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3.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3.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3.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3.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3.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3.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3.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3.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3.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3.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3.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3.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3.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3.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3.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3.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3.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3.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3.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3.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3.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3.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3.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3.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3.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3.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3.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3.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3.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3.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3.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3.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3.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3.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3.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3.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3.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3.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3.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3.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3.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3.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3.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3.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3.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3.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3.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3.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3.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3.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3.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3.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3.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3.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3.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3.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3.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3.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3.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3.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3.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3.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3.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3.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3.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3.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3.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3.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3.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3.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3.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3.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3.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3.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3.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3.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3.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3.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3.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3.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3.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3.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3.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3.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3.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3.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3.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3.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3.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3.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3.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3.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3.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3.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3.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3.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3.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3.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3.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3.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3.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3.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3.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3.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3.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3.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3.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3.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3.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3.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3.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3.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3.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3.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3.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3.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3.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3.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3.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3.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3.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3.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3.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3.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3.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3.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3.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3.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3.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3.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3.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3.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3.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3.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3.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3.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3.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3.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3.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3.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3.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3.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3.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3.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3.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3.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3.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3.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3.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3.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3.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3.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3.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3.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3.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3.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3.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3.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3.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3.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3.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3.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3.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3.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3.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3.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3.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3.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3.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3.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3.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3.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3.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3.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3.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3.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3.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3.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3.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3.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3.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3.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3.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3.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3.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3.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3.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3.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3.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3.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3.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3.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3.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3.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3.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3.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3.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3.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3.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3.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3.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3.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3.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3.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3.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3.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3.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3.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3.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3.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3.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3.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3.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3.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3.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3.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3.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3.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3.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3.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3.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3.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3.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3.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3.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3.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3.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3.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3.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3.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3.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3.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3.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3.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3.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3.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3.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3.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3.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3.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3.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3.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3.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3.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3.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3.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3.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3.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3.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3.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3.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3.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3.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3.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3.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3.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3.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3.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3.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3.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3.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3.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3.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3.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3.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3.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3.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3.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3.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3.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3.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3.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3.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3.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3.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3.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3.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3.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3.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3.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3.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3.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3.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3.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3.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3.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3.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3.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3.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3.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3.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3.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3.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3.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3.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3.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3.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3.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3.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3.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3.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3.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3.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3.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3.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3.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3.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3.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3.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3.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3.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3.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3.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3.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3.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3.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3.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3.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3.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3.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3.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3.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3.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3.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3.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3.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3.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3.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3.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3.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3.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3.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3.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3.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3.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3.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3.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3.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3.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3.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3.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3.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3.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3.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3.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3.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3.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3.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3.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3.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3.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3.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3.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3.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3.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3.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3.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3.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3.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3.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3.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3.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3.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3.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3.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3.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3.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3.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3.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3.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3.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6">
    <mergeCell ref="B2:F2"/>
    <mergeCell ref="B4:C5"/>
    <mergeCell ref="D4:D5"/>
    <mergeCell ref="E4:E5"/>
    <mergeCell ref="F4:F5"/>
    <mergeCell ref="G4:H4"/>
  </mergeCells>
  <dataValidations>
    <dataValidation type="list" allowBlank="1" showErrorMessage="1" sqref="E6:E34">
      <formula1>List_1</formula1>
    </dataValidation>
    <dataValidation type="list" allowBlank="1" showErrorMessage="1" sqref="D6:D34">
      <formula1>List_2</formula1>
    </dataValidation>
  </dataValidation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cols>
    <col customWidth="1" min="1" max="1" width="2.86"/>
    <col customWidth="1" min="2" max="2" width="7.43"/>
    <col customWidth="1" min="3" max="3" width="60.71"/>
    <col customWidth="1" min="4" max="4" width="18.86"/>
    <col customWidth="1" min="5" max="5" width="19.86"/>
    <col customWidth="1" min="6" max="6" width="41.43"/>
    <col customWidth="1" min="7" max="8" width="24.71"/>
    <col customWidth="1" min="9" max="26" width="9.14"/>
  </cols>
  <sheetData>
    <row r="1" ht="15.0"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ht="33.75" customHeight="1">
      <c r="A2" s="12"/>
      <c r="B2" s="13" t="s">
        <v>320</v>
      </c>
      <c r="C2" s="14"/>
      <c r="D2" s="14"/>
      <c r="E2" s="14"/>
      <c r="F2" s="5"/>
      <c r="G2" s="12"/>
      <c r="H2" s="12"/>
      <c r="I2" s="12"/>
      <c r="J2" s="12"/>
      <c r="K2" s="12"/>
      <c r="L2" s="12"/>
      <c r="M2" s="12"/>
      <c r="N2" s="12"/>
      <c r="O2" s="12"/>
      <c r="P2" s="12"/>
      <c r="Q2" s="12"/>
      <c r="R2" s="12"/>
      <c r="S2" s="12"/>
      <c r="T2" s="12"/>
      <c r="U2" s="12"/>
      <c r="V2" s="12"/>
      <c r="W2" s="12"/>
      <c r="X2" s="12"/>
      <c r="Y2" s="12"/>
      <c r="Z2" s="12"/>
    </row>
    <row r="3" ht="13.5" customHeight="1">
      <c r="A3" s="12"/>
      <c r="B3" s="12"/>
      <c r="C3" s="12"/>
      <c r="D3" s="12"/>
      <c r="E3" s="12"/>
      <c r="F3" s="12"/>
      <c r="G3" s="12"/>
      <c r="H3" s="12"/>
      <c r="I3" s="12"/>
      <c r="J3" s="12"/>
      <c r="K3" s="12"/>
      <c r="L3" s="12"/>
      <c r="M3" s="12"/>
      <c r="N3" s="12"/>
      <c r="O3" s="12"/>
      <c r="P3" s="12"/>
      <c r="Q3" s="12"/>
      <c r="R3" s="12"/>
      <c r="S3" s="12"/>
      <c r="T3" s="12"/>
      <c r="U3" s="12"/>
      <c r="V3" s="12"/>
      <c r="W3" s="12"/>
      <c r="X3" s="12"/>
      <c r="Y3" s="12"/>
      <c r="Z3" s="12"/>
    </row>
    <row r="4" ht="25.5" customHeight="1">
      <c r="A4" s="12"/>
      <c r="B4" s="16" t="s">
        <v>320</v>
      </c>
      <c r="C4" s="17"/>
      <c r="D4" s="18" t="s">
        <v>321</v>
      </c>
      <c r="E4" s="18" t="s">
        <v>322</v>
      </c>
      <c r="F4" s="18" t="s">
        <v>79</v>
      </c>
      <c r="G4" s="19"/>
      <c r="H4" s="20"/>
      <c r="I4" s="21"/>
      <c r="J4" s="12"/>
      <c r="K4" s="12"/>
      <c r="L4" s="12"/>
      <c r="M4" s="12"/>
      <c r="N4" s="12"/>
      <c r="O4" s="12"/>
      <c r="P4" s="12"/>
      <c r="Q4" s="12"/>
      <c r="R4" s="12"/>
      <c r="S4" s="12"/>
      <c r="T4" s="12"/>
      <c r="U4" s="12"/>
      <c r="V4" s="12"/>
      <c r="W4" s="12"/>
      <c r="X4" s="12"/>
      <c r="Y4" s="12"/>
      <c r="Z4" s="12"/>
    </row>
    <row r="5" ht="63.0" customHeight="1">
      <c r="A5" s="12"/>
      <c r="B5" s="22"/>
      <c r="C5" s="23"/>
      <c r="D5" s="24"/>
      <c r="E5" s="24"/>
      <c r="F5" s="24"/>
      <c r="G5" s="25"/>
      <c r="H5" s="26"/>
      <c r="I5" s="21"/>
      <c r="J5" s="12"/>
      <c r="K5" s="12"/>
      <c r="L5" s="12"/>
      <c r="M5" s="12"/>
      <c r="N5" s="12"/>
      <c r="O5" s="12"/>
      <c r="P5" s="12"/>
      <c r="Q5" s="12"/>
      <c r="R5" s="12"/>
      <c r="S5" s="12"/>
      <c r="T5" s="12"/>
      <c r="U5" s="12"/>
      <c r="V5" s="12"/>
      <c r="W5" s="12"/>
      <c r="X5" s="12"/>
      <c r="Y5" s="12"/>
      <c r="Z5" s="12"/>
    </row>
    <row r="6" ht="13.5" customHeight="1">
      <c r="A6" s="27"/>
      <c r="B6" s="28">
        <v>1.0</v>
      </c>
      <c r="C6" s="36" t="s">
        <v>323</v>
      </c>
      <c r="D6" s="30" t="s">
        <v>81</v>
      </c>
      <c r="E6" s="31" t="s">
        <v>119</v>
      </c>
      <c r="F6" s="39" t="s">
        <v>324</v>
      </c>
      <c r="G6" s="33"/>
      <c r="H6" s="34"/>
      <c r="I6" s="35"/>
      <c r="J6" s="27"/>
      <c r="K6" s="27"/>
      <c r="L6" s="27"/>
      <c r="M6" s="27"/>
      <c r="N6" s="27"/>
      <c r="O6" s="27"/>
      <c r="P6" s="27"/>
      <c r="Q6" s="27"/>
      <c r="R6" s="27"/>
      <c r="S6" s="27"/>
      <c r="T6" s="27"/>
      <c r="U6" s="27"/>
      <c r="V6" s="27"/>
      <c r="W6" s="27"/>
      <c r="X6" s="27"/>
      <c r="Y6" s="27"/>
      <c r="Z6" s="27"/>
    </row>
    <row r="7" ht="13.5" customHeight="1">
      <c r="A7" s="27"/>
      <c r="B7" s="28">
        <v>2.0</v>
      </c>
      <c r="C7" s="36" t="s">
        <v>325</v>
      </c>
      <c r="D7" s="30" t="s">
        <v>81</v>
      </c>
      <c r="E7" s="31" t="s">
        <v>119</v>
      </c>
      <c r="F7" s="32"/>
      <c r="G7" s="33"/>
      <c r="H7" s="34"/>
      <c r="I7" s="35"/>
      <c r="J7" s="27"/>
      <c r="K7" s="27"/>
      <c r="L7" s="27"/>
      <c r="M7" s="27"/>
      <c r="N7" s="27"/>
      <c r="O7" s="27"/>
      <c r="P7" s="27"/>
      <c r="Q7" s="27"/>
      <c r="R7" s="27"/>
      <c r="S7" s="27"/>
      <c r="T7" s="27"/>
      <c r="U7" s="27"/>
      <c r="V7" s="27"/>
      <c r="W7" s="27"/>
      <c r="X7" s="27"/>
      <c r="Y7" s="27"/>
      <c r="Z7" s="27"/>
    </row>
    <row r="8" ht="13.5" customHeight="1">
      <c r="A8" s="27"/>
      <c r="B8" s="28">
        <v>3.0</v>
      </c>
      <c r="C8" s="36" t="s">
        <v>326</v>
      </c>
      <c r="D8" s="30" t="s">
        <v>81</v>
      </c>
      <c r="E8" s="31" t="s">
        <v>119</v>
      </c>
      <c r="F8" s="32"/>
      <c r="G8" s="33"/>
      <c r="H8" s="34"/>
      <c r="I8" s="35"/>
      <c r="J8" s="27"/>
      <c r="K8" s="27"/>
      <c r="L8" s="27"/>
      <c r="M8" s="27"/>
      <c r="N8" s="27"/>
      <c r="O8" s="27"/>
      <c r="P8" s="27"/>
      <c r="Q8" s="27"/>
      <c r="R8" s="27"/>
      <c r="S8" s="27"/>
      <c r="T8" s="27"/>
      <c r="U8" s="27"/>
      <c r="V8" s="27"/>
      <c r="W8" s="27"/>
      <c r="X8" s="27"/>
      <c r="Y8" s="27"/>
      <c r="Z8" s="27"/>
    </row>
    <row r="9" ht="13.5" customHeight="1">
      <c r="A9" s="27"/>
      <c r="B9" s="28">
        <v>4.0</v>
      </c>
      <c r="C9" s="36" t="s">
        <v>327</v>
      </c>
      <c r="D9" s="30" t="s">
        <v>81</v>
      </c>
      <c r="E9" s="31" t="s">
        <v>119</v>
      </c>
      <c r="F9" s="32"/>
      <c r="G9" s="33"/>
      <c r="H9" s="34"/>
      <c r="I9" s="35"/>
      <c r="J9" s="27"/>
      <c r="K9" s="27"/>
      <c r="L9" s="27"/>
      <c r="M9" s="27"/>
      <c r="N9" s="27"/>
      <c r="O9" s="27"/>
      <c r="P9" s="27"/>
      <c r="Q9" s="27"/>
      <c r="R9" s="27"/>
      <c r="S9" s="27"/>
      <c r="T9" s="27"/>
      <c r="U9" s="27"/>
      <c r="V9" s="27"/>
      <c r="W9" s="27"/>
      <c r="X9" s="27"/>
      <c r="Y9" s="27"/>
      <c r="Z9" s="27"/>
    </row>
    <row r="10" ht="13.5" customHeight="1">
      <c r="A10" s="27"/>
      <c r="B10" s="28">
        <v>5.0</v>
      </c>
      <c r="C10" s="36" t="s">
        <v>328</v>
      </c>
      <c r="D10" s="30" t="s">
        <v>81</v>
      </c>
      <c r="E10" s="31" t="s">
        <v>119</v>
      </c>
      <c r="F10" s="32"/>
      <c r="G10" s="33"/>
      <c r="H10" s="34"/>
      <c r="I10" s="35"/>
      <c r="J10" s="27"/>
      <c r="K10" s="27"/>
      <c r="L10" s="27"/>
      <c r="M10" s="27"/>
      <c r="N10" s="27"/>
      <c r="O10" s="27"/>
      <c r="P10" s="27"/>
      <c r="Q10" s="27"/>
      <c r="R10" s="27"/>
      <c r="S10" s="27"/>
      <c r="T10" s="27"/>
      <c r="U10" s="27"/>
      <c r="V10" s="27"/>
      <c r="W10" s="27"/>
      <c r="X10" s="27"/>
      <c r="Y10" s="27"/>
      <c r="Z10" s="27"/>
    </row>
    <row r="11" ht="13.5" customHeight="1">
      <c r="A11" s="27"/>
      <c r="B11" s="28">
        <v>6.0</v>
      </c>
      <c r="C11" s="36" t="s">
        <v>329</v>
      </c>
      <c r="D11" s="30" t="s">
        <v>81</v>
      </c>
      <c r="E11" s="31" t="s">
        <v>119</v>
      </c>
      <c r="F11" s="32"/>
      <c r="G11" s="33"/>
      <c r="H11" s="34"/>
      <c r="I11" s="35"/>
      <c r="J11" s="27"/>
      <c r="K11" s="27"/>
      <c r="L11" s="27"/>
      <c r="M11" s="27"/>
      <c r="N11" s="27"/>
      <c r="O11" s="27"/>
      <c r="P11" s="27"/>
      <c r="Q11" s="27"/>
      <c r="R11" s="27"/>
      <c r="S11" s="27"/>
      <c r="T11" s="27"/>
      <c r="U11" s="27"/>
      <c r="V11" s="27"/>
      <c r="W11" s="27"/>
      <c r="X11" s="27"/>
      <c r="Y11" s="27"/>
      <c r="Z11" s="27"/>
    </row>
    <row r="12" ht="13.5" customHeight="1">
      <c r="A12" s="27"/>
      <c r="B12" s="28">
        <v>7.0</v>
      </c>
      <c r="C12" s="36" t="s">
        <v>330</v>
      </c>
      <c r="D12" s="30" t="s">
        <v>81</v>
      </c>
      <c r="E12" s="31" t="s">
        <v>119</v>
      </c>
      <c r="F12" s="32"/>
      <c r="G12" s="33"/>
      <c r="H12" s="34"/>
      <c r="I12" s="35"/>
      <c r="J12" s="27"/>
      <c r="K12" s="27"/>
      <c r="L12" s="27"/>
      <c r="M12" s="27"/>
      <c r="N12" s="27"/>
      <c r="O12" s="27"/>
      <c r="P12" s="27"/>
      <c r="Q12" s="27"/>
      <c r="R12" s="27"/>
      <c r="S12" s="27"/>
      <c r="T12" s="27"/>
      <c r="U12" s="27"/>
      <c r="V12" s="27"/>
      <c r="W12" s="27"/>
      <c r="X12" s="27"/>
      <c r="Y12" s="27"/>
      <c r="Z12" s="27"/>
    </row>
    <row r="13" ht="13.5" customHeight="1">
      <c r="A13" s="27"/>
      <c r="B13" s="28">
        <v>8.0</v>
      </c>
      <c r="C13" s="36" t="s">
        <v>331</v>
      </c>
      <c r="D13" s="30" t="s">
        <v>81</v>
      </c>
      <c r="E13" s="31" t="s">
        <v>119</v>
      </c>
      <c r="F13" s="32"/>
      <c r="G13" s="33"/>
      <c r="H13" s="34"/>
      <c r="I13" s="35"/>
      <c r="J13" s="27"/>
      <c r="K13" s="27"/>
      <c r="L13" s="27"/>
      <c r="M13" s="27"/>
      <c r="N13" s="27"/>
      <c r="O13" s="27"/>
      <c r="P13" s="27"/>
      <c r="Q13" s="27"/>
      <c r="R13" s="27"/>
      <c r="S13" s="27"/>
      <c r="T13" s="27"/>
      <c r="U13" s="27"/>
      <c r="V13" s="27"/>
      <c r="W13" s="27"/>
      <c r="X13" s="27"/>
      <c r="Y13" s="27"/>
      <c r="Z13" s="27"/>
    </row>
    <row r="14" ht="13.5" customHeight="1">
      <c r="A14" s="27"/>
      <c r="B14" s="28">
        <v>9.0</v>
      </c>
      <c r="C14" s="36" t="s">
        <v>332</v>
      </c>
      <c r="D14" s="30" t="s">
        <v>81</v>
      </c>
      <c r="E14" s="31" t="s">
        <v>82</v>
      </c>
      <c r="F14" s="32"/>
      <c r="G14" s="33"/>
      <c r="H14" s="34"/>
      <c r="I14" s="35"/>
      <c r="J14" s="27"/>
      <c r="K14" s="27"/>
      <c r="L14" s="27"/>
      <c r="M14" s="27"/>
      <c r="N14" s="27"/>
      <c r="O14" s="27"/>
      <c r="P14" s="27"/>
      <c r="Q14" s="27"/>
      <c r="R14" s="27"/>
      <c r="S14" s="27"/>
      <c r="T14" s="27"/>
      <c r="U14" s="27"/>
      <c r="V14" s="27"/>
      <c r="W14" s="27"/>
      <c r="X14" s="27"/>
      <c r="Y14" s="27"/>
      <c r="Z14" s="27"/>
    </row>
    <row r="15" ht="13.5" customHeight="1">
      <c r="A15" s="27"/>
      <c r="B15" s="28">
        <v>10.0</v>
      </c>
      <c r="C15" s="36" t="s">
        <v>333</v>
      </c>
      <c r="D15" s="30" t="s">
        <v>81</v>
      </c>
      <c r="E15" s="31" t="s">
        <v>119</v>
      </c>
      <c r="F15" s="32"/>
      <c r="G15" s="33"/>
      <c r="H15" s="34"/>
      <c r="I15" s="35"/>
      <c r="J15" s="27"/>
      <c r="K15" s="27"/>
      <c r="L15" s="27"/>
      <c r="M15" s="27"/>
      <c r="N15" s="27"/>
      <c r="O15" s="27"/>
      <c r="P15" s="27"/>
      <c r="Q15" s="27"/>
      <c r="R15" s="27"/>
      <c r="S15" s="27"/>
      <c r="T15" s="27"/>
      <c r="U15" s="27"/>
      <c r="V15" s="27"/>
      <c r="W15" s="27"/>
      <c r="X15" s="27"/>
      <c r="Y15" s="27"/>
      <c r="Z15" s="27"/>
    </row>
    <row r="16" ht="13.5" customHeight="1">
      <c r="A16" s="27"/>
      <c r="B16" s="28">
        <v>11.0</v>
      </c>
      <c r="C16" s="36" t="s">
        <v>334</v>
      </c>
      <c r="D16" s="30" t="s">
        <v>81</v>
      </c>
      <c r="E16" s="31" t="s">
        <v>119</v>
      </c>
      <c r="F16" s="32"/>
      <c r="G16" s="33"/>
      <c r="H16" s="34"/>
      <c r="I16" s="35"/>
      <c r="J16" s="27"/>
      <c r="K16" s="27"/>
      <c r="L16" s="27"/>
      <c r="M16" s="27"/>
      <c r="N16" s="27"/>
      <c r="O16" s="27"/>
      <c r="P16" s="27"/>
      <c r="Q16" s="27"/>
      <c r="R16" s="27"/>
      <c r="S16" s="27"/>
      <c r="T16" s="27"/>
      <c r="U16" s="27"/>
      <c r="V16" s="27"/>
      <c r="W16" s="27"/>
      <c r="X16" s="27"/>
      <c r="Y16" s="27"/>
      <c r="Z16" s="27"/>
    </row>
    <row r="17" ht="13.5" customHeight="1">
      <c r="A17" s="27"/>
      <c r="B17" s="28">
        <v>12.0</v>
      </c>
      <c r="C17" s="36" t="s">
        <v>335</v>
      </c>
      <c r="D17" s="30" t="s">
        <v>81</v>
      </c>
      <c r="E17" s="31" t="s">
        <v>119</v>
      </c>
      <c r="F17" s="32"/>
      <c r="G17" s="33"/>
      <c r="H17" s="34"/>
      <c r="I17" s="35"/>
      <c r="J17" s="27"/>
      <c r="K17" s="27"/>
      <c r="L17" s="27"/>
      <c r="M17" s="27"/>
      <c r="N17" s="27"/>
      <c r="O17" s="27"/>
      <c r="P17" s="27"/>
      <c r="Q17" s="27"/>
      <c r="R17" s="27"/>
      <c r="S17" s="27"/>
      <c r="T17" s="27"/>
      <c r="U17" s="27"/>
      <c r="V17" s="27"/>
      <c r="W17" s="27"/>
      <c r="X17" s="27"/>
      <c r="Y17" s="27"/>
      <c r="Z17" s="27"/>
    </row>
    <row r="18" ht="13.5" customHeight="1">
      <c r="A18" s="27"/>
      <c r="B18" s="28">
        <v>13.0</v>
      </c>
      <c r="C18" s="36" t="s">
        <v>336</v>
      </c>
      <c r="D18" s="30" t="s">
        <v>81</v>
      </c>
      <c r="E18" s="31" t="s">
        <v>82</v>
      </c>
      <c r="F18" s="32"/>
      <c r="G18" s="33"/>
      <c r="H18" s="34"/>
      <c r="I18" s="35"/>
      <c r="J18" s="27"/>
      <c r="K18" s="27"/>
      <c r="L18" s="27"/>
      <c r="M18" s="27"/>
      <c r="N18" s="27"/>
      <c r="O18" s="27"/>
      <c r="P18" s="27"/>
      <c r="Q18" s="27"/>
      <c r="R18" s="27"/>
      <c r="S18" s="27"/>
      <c r="T18" s="27"/>
      <c r="U18" s="27"/>
      <c r="V18" s="27"/>
      <c r="W18" s="27"/>
      <c r="X18" s="27"/>
      <c r="Y18" s="27"/>
      <c r="Z18" s="27"/>
    </row>
    <row r="19" ht="13.5" customHeight="1">
      <c r="A19" s="27"/>
      <c r="B19" s="28">
        <v>14.0</v>
      </c>
      <c r="C19" s="36" t="s">
        <v>337</v>
      </c>
      <c r="D19" s="30" t="s">
        <v>81</v>
      </c>
      <c r="E19" s="31" t="s">
        <v>119</v>
      </c>
      <c r="F19" s="32"/>
      <c r="G19" s="33"/>
      <c r="H19" s="34"/>
      <c r="I19" s="35"/>
      <c r="J19" s="27"/>
      <c r="K19" s="27"/>
      <c r="L19" s="27"/>
      <c r="M19" s="27"/>
      <c r="N19" s="27"/>
      <c r="O19" s="27"/>
      <c r="P19" s="27"/>
      <c r="Q19" s="27"/>
      <c r="R19" s="27"/>
      <c r="S19" s="27"/>
      <c r="T19" s="27"/>
      <c r="U19" s="27"/>
      <c r="V19" s="27"/>
      <c r="W19" s="27"/>
      <c r="X19" s="27"/>
      <c r="Y19" s="27"/>
      <c r="Z19" s="27"/>
    </row>
    <row r="20" ht="13.5" customHeight="1">
      <c r="A20" s="27"/>
      <c r="B20" s="28">
        <v>15.0</v>
      </c>
      <c r="C20" s="36" t="s">
        <v>338</v>
      </c>
      <c r="D20" s="30" t="s">
        <v>81</v>
      </c>
      <c r="E20" s="31" t="s">
        <v>119</v>
      </c>
      <c r="F20" s="32"/>
      <c r="G20" s="33"/>
      <c r="H20" s="34"/>
      <c r="I20" s="35"/>
      <c r="J20" s="27"/>
      <c r="K20" s="27"/>
      <c r="L20" s="27"/>
      <c r="M20" s="27"/>
      <c r="N20" s="27"/>
      <c r="O20" s="27"/>
      <c r="P20" s="27"/>
      <c r="Q20" s="27"/>
      <c r="R20" s="27"/>
      <c r="S20" s="27"/>
      <c r="T20" s="27"/>
      <c r="U20" s="27"/>
      <c r="V20" s="27"/>
      <c r="W20" s="27"/>
      <c r="X20" s="27"/>
      <c r="Y20" s="27"/>
      <c r="Z20" s="27"/>
    </row>
    <row r="21" ht="13.5" customHeight="1">
      <c r="A21" s="27"/>
      <c r="B21" s="28">
        <v>16.0</v>
      </c>
      <c r="C21" s="36" t="s">
        <v>339</v>
      </c>
      <c r="D21" s="30" t="s">
        <v>81</v>
      </c>
      <c r="E21" s="31" t="s">
        <v>119</v>
      </c>
      <c r="F21" s="32"/>
      <c r="G21" s="33"/>
      <c r="H21" s="34"/>
      <c r="I21" s="35"/>
      <c r="J21" s="27"/>
      <c r="K21" s="27"/>
      <c r="L21" s="27"/>
      <c r="M21" s="27"/>
      <c r="N21" s="27"/>
      <c r="O21" s="27"/>
      <c r="P21" s="27"/>
      <c r="Q21" s="27"/>
      <c r="R21" s="27"/>
      <c r="S21" s="27"/>
      <c r="T21" s="27"/>
      <c r="U21" s="27"/>
      <c r="V21" s="27"/>
      <c r="W21" s="27"/>
      <c r="X21" s="27"/>
      <c r="Y21" s="27"/>
      <c r="Z21" s="27"/>
    </row>
    <row r="22" ht="13.5" customHeight="1">
      <c r="A22" s="27"/>
      <c r="B22" s="28">
        <v>17.0</v>
      </c>
      <c r="C22" s="36" t="s">
        <v>340</v>
      </c>
      <c r="D22" s="30" t="s">
        <v>81</v>
      </c>
      <c r="E22" s="31" t="s">
        <v>119</v>
      </c>
      <c r="F22" s="32"/>
      <c r="G22" s="33"/>
      <c r="H22" s="34"/>
      <c r="I22" s="35"/>
      <c r="J22" s="27"/>
      <c r="K22" s="27"/>
      <c r="L22" s="27"/>
      <c r="M22" s="27"/>
      <c r="N22" s="27"/>
      <c r="O22" s="27"/>
      <c r="P22" s="27"/>
      <c r="Q22" s="27"/>
      <c r="R22" s="27"/>
      <c r="S22" s="27"/>
      <c r="T22" s="27"/>
      <c r="U22" s="27"/>
      <c r="V22" s="27"/>
      <c r="W22" s="27"/>
      <c r="X22" s="27"/>
      <c r="Y22" s="27"/>
      <c r="Z22" s="27"/>
    </row>
    <row r="23" ht="13.5" customHeight="1">
      <c r="A23" s="27"/>
      <c r="B23" s="28">
        <v>18.0</v>
      </c>
      <c r="C23" s="36" t="s">
        <v>341</v>
      </c>
      <c r="D23" s="30" t="s">
        <v>81</v>
      </c>
      <c r="E23" s="31" t="s">
        <v>119</v>
      </c>
      <c r="F23" s="32"/>
      <c r="G23" s="33"/>
      <c r="H23" s="34"/>
      <c r="I23" s="35"/>
      <c r="J23" s="27"/>
      <c r="K23" s="27"/>
      <c r="L23" s="27"/>
      <c r="M23" s="27"/>
      <c r="N23" s="27"/>
      <c r="O23" s="27"/>
      <c r="P23" s="27"/>
      <c r="Q23" s="27"/>
      <c r="R23" s="27"/>
      <c r="S23" s="27"/>
      <c r="T23" s="27"/>
      <c r="U23" s="27"/>
      <c r="V23" s="27"/>
      <c r="W23" s="27"/>
      <c r="X23" s="27"/>
      <c r="Y23" s="27"/>
      <c r="Z23" s="27"/>
    </row>
    <row r="24" ht="13.5" customHeight="1">
      <c r="A24" s="27"/>
      <c r="B24" s="28">
        <v>19.0</v>
      </c>
      <c r="C24" s="36" t="s">
        <v>342</v>
      </c>
      <c r="D24" s="30" t="s">
        <v>81</v>
      </c>
      <c r="E24" s="31" t="s">
        <v>85</v>
      </c>
      <c r="F24" s="49" t="s">
        <v>343</v>
      </c>
      <c r="G24" s="33"/>
      <c r="H24" s="34"/>
      <c r="I24" s="35"/>
      <c r="J24" s="27"/>
      <c r="K24" s="27"/>
      <c r="L24" s="27"/>
      <c r="M24" s="27"/>
      <c r="N24" s="27"/>
      <c r="O24" s="27"/>
      <c r="P24" s="27"/>
      <c r="Q24" s="27"/>
      <c r="R24" s="27"/>
      <c r="S24" s="27"/>
      <c r="T24" s="27"/>
      <c r="U24" s="27"/>
      <c r="V24" s="27"/>
      <c r="W24" s="27"/>
      <c r="X24" s="27"/>
      <c r="Y24" s="27"/>
      <c r="Z24" s="27"/>
    </row>
    <row r="25" ht="13.5" customHeight="1">
      <c r="A25" s="27"/>
      <c r="B25" s="28">
        <v>20.0</v>
      </c>
      <c r="C25" s="36" t="s">
        <v>344</v>
      </c>
      <c r="D25" s="30" t="s">
        <v>81</v>
      </c>
      <c r="E25" s="31" t="s">
        <v>119</v>
      </c>
      <c r="F25" s="32"/>
      <c r="G25" s="33"/>
      <c r="H25" s="34"/>
      <c r="I25" s="35"/>
      <c r="J25" s="27"/>
      <c r="K25" s="27"/>
      <c r="L25" s="27"/>
      <c r="M25" s="27"/>
      <c r="N25" s="27"/>
      <c r="O25" s="27"/>
      <c r="P25" s="27"/>
      <c r="Q25" s="27"/>
      <c r="R25" s="27"/>
      <c r="S25" s="27"/>
      <c r="T25" s="27"/>
      <c r="U25" s="27"/>
      <c r="V25" s="27"/>
      <c r="W25" s="27"/>
      <c r="X25" s="27"/>
      <c r="Y25" s="27"/>
      <c r="Z25" s="27"/>
    </row>
    <row r="26" ht="13.5" customHeight="1">
      <c r="A26" s="27"/>
      <c r="B26" s="28">
        <v>21.0</v>
      </c>
      <c r="C26" s="36" t="s">
        <v>345</v>
      </c>
      <c r="D26" s="30" t="s">
        <v>81</v>
      </c>
      <c r="E26" s="31" t="s">
        <v>82</v>
      </c>
      <c r="F26" s="32"/>
      <c r="G26" s="33"/>
      <c r="H26" s="34"/>
      <c r="I26" s="35"/>
      <c r="J26" s="27"/>
      <c r="K26" s="27"/>
      <c r="L26" s="27"/>
      <c r="M26" s="27"/>
      <c r="N26" s="27"/>
      <c r="O26" s="27"/>
      <c r="P26" s="27"/>
      <c r="Q26" s="27"/>
      <c r="R26" s="27"/>
      <c r="S26" s="27"/>
      <c r="T26" s="27"/>
      <c r="U26" s="27"/>
      <c r="V26" s="27"/>
      <c r="W26" s="27"/>
      <c r="X26" s="27"/>
      <c r="Y26" s="27"/>
      <c r="Z26" s="27"/>
    </row>
    <row r="27" ht="13.5" customHeight="1">
      <c r="A27" s="27"/>
      <c r="B27" s="28">
        <v>22.0</v>
      </c>
      <c r="C27" s="36" t="s">
        <v>346</v>
      </c>
      <c r="D27" s="30" t="s">
        <v>81</v>
      </c>
      <c r="E27" s="31" t="s">
        <v>119</v>
      </c>
      <c r="F27" s="32"/>
      <c r="G27" s="33"/>
      <c r="H27" s="34"/>
      <c r="I27" s="35"/>
      <c r="J27" s="27"/>
      <c r="K27" s="27"/>
      <c r="L27" s="27"/>
      <c r="M27" s="27"/>
      <c r="N27" s="27"/>
      <c r="O27" s="27"/>
      <c r="P27" s="27"/>
      <c r="Q27" s="27"/>
      <c r="R27" s="27"/>
      <c r="S27" s="27"/>
      <c r="T27" s="27"/>
      <c r="U27" s="27"/>
      <c r="V27" s="27"/>
      <c r="W27" s="27"/>
      <c r="X27" s="27"/>
      <c r="Y27" s="27"/>
      <c r="Z27" s="27"/>
    </row>
    <row r="28" ht="13.5" customHeight="1">
      <c r="A28" s="27"/>
      <c r="B28" s="28">
        <v>23.0</v>
      </c>
      <c r="C28" s="36"/>
      <c r="D28" s="30"/>
      <c r="E28" s="37"/>
      <c r="F28" s="32"/>
      <c r="G28" s="33"/>
      <c r="H28" s="34"/>
      <c r="I28" s="35"/>
      <c r="J28" s="27"/>
      <c r="K28" s="27"/>
      <c r="L28" s="27"/>
      <c r="M28" s="27"/>
      <c r="N28" s="27"/>
      <c r="O28" s="27"/>
      <c r="P28" s="27"/>
      <c r="Q28" s="27"/>
      <c r="R28" s="27"/>
      <c r="S28" s="27"/>
      <c r="T28" s="27"/>
      <c r="U28" s="27"/>
      <c r="V28" s="27"/>
      <c r="W28" s="27"/>
      <c r="X28" s="27"/>
      <c r="Y28" s="27"/>
      <c r="Z28" s="27"/>
    </row>
    <row r="29" ht="13.5" customHeight="1">
      <c r="A29" s="27"/>
      <c r="B29" s="28">
        <v>24.0</v>
      </c>
      <c r="C29" s="36"/>
      <c r="D29" s="30"/>
      <c r="E29" s="37"/>
      <c r="F29" s="32"/>
      <c r="G29" s="33"/>
      <c r="H29" s="34"/>
      <c r="I29" s="35"/>
      <c r="J29" s="27"/>
      <c r="K29" s="27"/>
      <c r="L29" s="27"/>
      <c r="M29" s="27"/>
      <c r="N29" s="27"/>
      <c r="O29" s="27"/>
      <c r="P29" s="27"/>
      <c r="Q29" s="27"/>
      <c r="R29" s="27"/>
      <c r="S29" s="27"/>
      <c r="T29" s="27"/>
      <c r="U29" s="27"/>
      <c r="V29" s="27"/>
      <c r="W29" s="27"/>
      <c r="X29" s="27"/>
      <c r="Y29" s="27"/>
      <c r="Z29" s="27"/>
    </row>
    <row r="30" ht="13.5" customHeight="1">
      <c r="A30" s="27"/>
      <c r="B30" s="28">
        <v>25.0</v>
      </c>
      <c r="C30" s="36"/>
      <c r="D30" s="30"/>
      <c r="E30" s="37"/>
      <c r="F30" s="32"/>
      <c r="G30" s="33"/>
      <c r="H30" s="34"/>
      <c r="I30" s="35"/>
      <c r="J30" s="27"/>
      <c r="K30" s="27"/>
      <c r="L30" s="27"/>
      <c r="M30" s="27"/>
      <c r="N30" s="27"/>
      <c r="O30" s="27"/>
      <c r="P30" s="27"/>
      <c r="Q30" s="27"/>
      <c r="R30" s="27"/>
      <c r="S30" s="27"/>
      <c r="T30" s="27"/>
      <c r="U30" s="27"/>
      <c r="V30" s="27"/>
      <c r="W30" s="27"/>
      <c r="X30" s="27"/>
      <c r="Y30" s="27"/>
      <c r="Z30" s="27"/>
    </row>
    <row r="31" ht="13.5" customHeight="1">
      <c r="A31" s="27"/>
      <c r="B31" s="28"/>
      <c r="C31" s="36"/>
      <c r="D31" s="30"/>
      <c r="E31" s="37"/>
      <c r="F31" s="32"/>
      <c r="G31" s="33"/>
      <c r="H31" s="34"/>
      <c r="I31" s="35"/>
      <c r="J31" s="27"/>
      <c r="K31" s="27"/>
      <c r="L31" s="27"/>
      <c r="M31" s="27"/>
      <c r="N31" s="27"/>
      <c r="O31" s="27"/>
      <c r="P31" s="27"/>
      <c r="Q31" s="27"/>
      <c r="R31" s="27"/>
      <c r="S31" s="27"/>
      <c r="T31" s="27"/>
      <c r="U31" s="27"/>
      <c r="V31" s="27"/>
      <c r="W31" s="27"/>
      <c r="X31" s="27"/>
      <c r="Y31" s="27"/>
      <c r="Z31" s="27"/>
    </row>
    <row r="32" ht="13.5" customHeight="1">
      <c r="A32" s="27"/>
      <c r="B32" s="28"/>
      <c r="C32" s="36"/>
      <c r="D32" s="30"/>
      <c r="E32" s="37"/>
      <c r="F32" s="32"/>
      <c r="G32" s="33"/>
      <c r="H32" s="34"/>
      <c r="I32" s="35"/>
      <c r="J32" s="27"/>
      <c r="K32" s="27"/>
      <c r="L32" s="27"/>
      <c r="M32" s="27"/>
      <c r="N32" s="27"/>
      <c r="O32" s="27"/>
      <c r="P32" s="27"/>
      <c r="Q32" s="27"/>
      <c r="R32" s="27"/>
      <c r="S32" s="27"/>
      <c r="T32" s="27"/>
      <c r="U32" s="27"/>
      <c r="V32" s="27"/>
      <c r="W32" s="27"/>
      <c r="X32" s="27"/>
      <c r="Y32" s="27"/>
      <c r="Z32" s="27"/>
    </row>
    <row r="33" ht="13.5" customHeight="1">
      <c r="A33" s="27"/>
      <c r="B33" s="28"/>
      <c r="C33" s="36"/>
      <c r="D33" s="30"/>
      <c r="E33" s="37"/>
      <c r="F33" s="32"/>
      <c r="G33" s="33"/>
      <c r="H33" s="34"/>
      <c r="I33" s="35"/>
      <c r="J33" s="27"/>
      <c r="K33" s="27"/>
      <c r="L33" s="27"/>
      <c r="M33" s="27"/>
      <c r="N33" s="27"/>
      <c r="O33" s="27"/>
      <c r="P33" s="27"/>
      <c r="Q33" s="27"/>
      <c r="R33" s="27"/>
      <c r="S33" s="27"/>
      <c r="T33" s="27"/>
      <c r="U33" s="27"/>
      <c r="V33" s="27"/>
      <c r="W33" s="27"/>
      <c r="X33" s="27"/>
      <c r="Y33" s="27"/>
      <c r="Z33" s="27"/>
    </row>
    <row r="34" ht="13.5" customHeight="1">
      <c r="A34" s="27"/>
      <c r="B34" s="28"/>
      <c r="C34" s="36"/>
      <c r="D34" s="30"/>
      <c r="E34" s="37"/>
      <c r="F34" s="32"/>
      <c r="G34" s="33"/>
      <c r="H34" s="34"/>
      <c r="I34" s="35"/>
      <c r="J34" s="27"/>
      <c r="K34" s="27"/>
      <c r="L34" s="27"/>
      <c r="M34" s="27"/>
      <c r="N34" s="27"/>
      <c r="O34" s="27"/>
      <c r="P34" s="27"/>
      <c r="Q34" s="27"/>
      <c r="R34" s="27"/>
      <c r="S34" s="27"/>
      <c r="T34" s="27"/>
      <c r="U34" s="27"/>
      <c r="V34" s="27"/>
      <c r="W34" s="27"/>
      <c r="X34" s="27"/>
      <c r="Y34" s="27"/>
      <c r="Z34" s="27"/>
    </row>
    <row r="35" ht="16.5" customHeight="1">
      <c r="A35" s="12"/>
      <c r="B35" s="43"/>
      <c r="C35" s="43"/>
      <c r="D35" s="43"/>
      <c r="E35" s="43"/>
      <c r="F35" s="43"/>
      <c r="G35" s="33"/>
      <c r="H35" s="34"/>
      <c r="I35" s="21"/>
      <c r="J35" s="12"/>
      <c r="K35" s="12"/>
      <c r="L35" s="12"/>
      <c r="M35" s="12"/>
      <c r="N35" s="12"/>
      <c r="O35" s="12"/>
      <c r="P35" s="12"/>
      <c r="Q35" s="12"/>
      <c r="R35" s="12"/>
      <c r="S35" s="12"/>
      <c r="T35" s="12"/>
      <c r="U35" s="12"/>
      <c r="V35" s="12"/>
      <c r="W35" s="12"/>
      <c r="X35" s="12"/>
      <c r="Y35" s="12"/>
      <c r="Z35" s="12"/>
    </row>
    <row r="36" ht="13.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3.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3.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3.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3.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3.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3.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3.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3.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3.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3.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3.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3.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3.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3.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3.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3.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3.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3.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3.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3.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3.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3.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3.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3.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3.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3.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3.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3.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3.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3.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3.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3.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3.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3.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3.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3.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3.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3.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3.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3.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3.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3.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3.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3.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3.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3.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3.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3.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3.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3.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3.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3.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3.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3.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3.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3.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3.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3.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3.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3.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3.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3.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3.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3.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3.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3.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3.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3.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3.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3.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3.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3.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3.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3.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3.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3.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3.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3.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3.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3.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3.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3.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3.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3.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3.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3.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3.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3.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3.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3.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3.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3.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3.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3.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3.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3.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3.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3.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3.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3.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3.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3.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3.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3.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3.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3.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3.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3.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3.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3.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3.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3.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3.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3.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3.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3.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3.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3.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3.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3.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3.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3.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3.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3.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3.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3.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3.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3.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3.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3.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3.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3.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3.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3.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3.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3.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3.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3.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3.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3.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3.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3.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3.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3.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3.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3.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3.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3.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3.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3.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3.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3.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3.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3.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3.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3.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3.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3.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3.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3.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3.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3.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3.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3.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3.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3.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3.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3.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3.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3.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3.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3.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3.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3.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3.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3.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3.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3.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3.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3.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3.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3.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3.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3.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3.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3.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3.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3.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3.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3.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3.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3.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3.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3.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3.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3.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3.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3.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3.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3.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3.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3.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3.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3.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3.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3.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3.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3.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3.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3.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3.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3.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3.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3.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3.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3.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3.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3.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3.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3.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3.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3.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3.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3.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3.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3.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3.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3.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3.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3.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3.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3.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3.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3.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3.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3.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3.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3.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3.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3.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3.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3.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3.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3.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3.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3.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3.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3.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3.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3.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3.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3.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3.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3.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3.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3.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3.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3.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3.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3.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3.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3.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3.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3.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3.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3.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3.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3.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3.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3.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3.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3.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3.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3.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3.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3.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3.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3.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3.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3.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3.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3.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3.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3.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3.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3.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3.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3.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3.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3.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3.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3.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3.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3.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3.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3.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3.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3.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3.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3.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3.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3.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3.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3.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3.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3.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3.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3.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3.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3.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3.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3.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3.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3.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3.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3.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3.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3.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3.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3.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3.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3.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3.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3.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3.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3.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3.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3.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3.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3.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3.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3.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3.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3.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3.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3.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3.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3.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3.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3.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3.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3.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3.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3.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3.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3.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3.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3.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3.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3.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3.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3.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3.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3.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3.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3.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3.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3.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3.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3.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3.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3.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3.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3.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3.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3.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3.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3.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3.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3.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3.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3.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3.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3.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3.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3.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3.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3.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3.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3.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3.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3.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3.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3.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3.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3.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3.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3.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3.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3.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3.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3.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3.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3.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3.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3.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3.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3.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3.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3.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3.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3.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3.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3.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3.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3.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3.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3.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3.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3.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3.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3.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3.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3.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3.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3.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3.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3.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3.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3.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3.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3.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3.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3.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3.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3.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3.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3.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3.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3.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3.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3.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3.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3.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3.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3.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3.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3.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3.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3.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3.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3.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3.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3.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3.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3.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3.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3.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3.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3.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3.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3.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3.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3.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3.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3.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3.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3.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3.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3.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3.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3.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3.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3.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3.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3.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3.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3.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3.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3.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3.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3.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3.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3.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3.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3.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3.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3.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3.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3.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3.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3.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3.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3.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3.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3.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3.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3.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3.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3.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3.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3.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3.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3.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3.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3.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3.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3.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3.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3.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3.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3.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3.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3.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3.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3.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3.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3.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3.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3.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3.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3.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3.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3.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3.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3.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3.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3.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3.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3.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3.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3.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3.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3.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3.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3.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3.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3.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3.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3.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3.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3.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3.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3.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3.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3.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3.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3.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3.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3.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3.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3.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3.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3.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3.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3.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3.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3.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3.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3.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3.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3.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3.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3.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3.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3.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3.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3.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3.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3.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3.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3.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3.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3.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3.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3.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3.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3.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3.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3.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3.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3.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3.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3.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3.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3.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3.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3.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3.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3.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3.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3.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3.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3.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3.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3.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3.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3.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3.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3.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3.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3.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3.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3.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3.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3.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3.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3.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3.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3.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3.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3.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3.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3.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3.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3.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3.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3.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3.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3.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3.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3.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3.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3.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3.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3.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3.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3.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3.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3.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3.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3.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3.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3.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3.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3.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3.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3.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3.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3.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3.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3.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3.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3.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3.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3.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3.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3.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3.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3.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3.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3.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3.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3.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3.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3.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3.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3.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3.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3.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3.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3.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3.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3.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3.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3.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3.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3.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3.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3.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3.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3.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3.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3.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3.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3.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3.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3.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3.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3.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3.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3.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3.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3.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3.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3.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3.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3.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3.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3.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3.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3.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3.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3.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3.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3.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3.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3.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3.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3.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3.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3.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3.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3.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3.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3.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3.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3.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3.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3.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3.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3.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3.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3.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3.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3.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3.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3.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3.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3.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3.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3.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3.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3.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3.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3.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3.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3.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3.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3.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3.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3.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3.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3.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3.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3.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3.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3.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3.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3.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3.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3.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3.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3.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3.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3.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3.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3.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3.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3.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3.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3.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3.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3.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3.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3.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3.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3.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3.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3.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3.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3.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3.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3.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3.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3.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3.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3.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3.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3.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3.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3.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3.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3.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3.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3.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3.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3.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3.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3.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3.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3.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3.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3.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3.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3.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3.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3.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3.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3.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3.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3.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3.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3.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3.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3.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3.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3.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3.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3.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3.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3.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3.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3.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3.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3.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3.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3.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3.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3.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3.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3.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3.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3.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3.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3.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3.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3.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3.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3.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3.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3.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3.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3.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3.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3.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3.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3.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3.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3.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3.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3.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3.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3.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3.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3.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3.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3.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3.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3.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3.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3.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3.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3.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3.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3.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3.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3.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3.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3.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3.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3.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3.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3.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3.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3.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3.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3.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3.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3.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3.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3.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3.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3.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3.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3.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3.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3.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3.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3.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3.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3.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3.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3.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3.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3.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3.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3.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3.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3.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3.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3.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3.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3.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3.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3.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3.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3.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3.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3.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3.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3.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3.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3.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3.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3.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3.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3.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3.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3.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3.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3.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3.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3.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3.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3.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3.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3.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3.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3.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3.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3.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3.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3.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3.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3.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3.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3.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3.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3.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3.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3.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3.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3.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3.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3.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3.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3.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3.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3.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3.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3.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3.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3.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3.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3.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3.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3.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3.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3.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3.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3.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3.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3.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3.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3.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3.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3.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3.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3.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3.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3.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3.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3.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3.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3.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3.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3.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3.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3.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3.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3.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3.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3.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3.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3.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3.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3.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3.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3.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3.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3.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3.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3.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6">
    <mergeCell ref="B2:F2"/>
    <mergeCell ref="B4:C5"/>
    <mergeCell ref="D4:D5"/>
    <mergeCell ref="E4:E5"/>
    <mergeCell ref="F4:F5"/>
    <mergeCell ref="G4:H4"/>
  </mergeCells>
  <dataValidations>
    <dataValidation type="list" allowBlank="1" showErrorMessage="1" sqref="E6:E34">
      <formula1>List_1</formula1>
    </dataValidation>
    <dataValidation type="list" allowBlank="1" showErrorMessage="1" sqref="D6:D34">
      <formula1>List_2</formula1>
    </dataValidation>
  </dataValidation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cols>
    <col customWidth="1" min="1" max="1" width="2.86"/>
    <col customWidth="1" min="2" max="2" width="7.43"/>
    <col customWidth="1" min="3" max="3" width="60.71"/>
    <col customWidth="1" min="4" max="4" width="18.86"/>
    <col customWidth="1" min="5" max="5" width="19.86"/>
    <col customWidth="1" min="6" max="6" width="41.43"/>
    <col customWidth="1" min="7" max="8" width="24.71"/>
    <col customWidth="1" min="9" max="26" width="9.14"/>
  </cols>
  <sheetData>
    <row r="1" ht="13.5"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ht="33.75" customHeight="1">
      <c r="A2" s="12"/>
      <c r="B2" s="13" t="s">
        <v>347</v>
      </c>
      <c r="C2" s="14"/>
      <c r="D2" s="14"/>
      <c r="E2" s="14"/>
      <c r="F2" s="5"/>
      <c r="G2" s="12"/>
      <c r="H2" s="12"/>
      <c r="I2" s="12"/>
      <c r="J2" s="12"/>
      <c r="K2" s="12"/>
      <c r="L2" s="12"/>
      <c r="M2" s="12"/>
      <c r="N2" s="12"/>
      <c r="O2" s="12"/>
      <c r="P2" s="12"/>
      <c r="Q2" s="12"/>
      <c r="R2" s="12"/>
      <c r="S2" s="12"/>
      <c r="T2" s="12"/>
      <c r="U2" s="12"/>
      <c r="V2" s="12"/>
      <c r="W2" s="12"/>
      <c r="X2" s="12"/>
      <c r="Y2" s="12"/>
      <c r="Z2" s="12"/>
    </row>
    <row r="3" ht="13.5" customHeight="1">
      <c r="A3" s="12"/>
      <c r="B3" s="12"/>
      <c r="C3" s="12"/>
      <c r="D3" s="12"/>
      <c r="E3" s="12"/>
      <c r="F3" s="12"/>
      <c r="G3" s="12"/>
      <c r="H3" s="12"/>
      <c r="I3" s="12"/>
      <c r="J3" s="12"/>
      <c r="K3" s="12"/>
      <c r="L3" s="12"/>
      <c r="M3" s="12"/>
      <c r="N3" s="12"/>
      <c r="O3" s="12"/>
      <c r="P3" s="12"/>
      <c r="Q3" s="12"/>
      <c r="R3" s="12"/>
      <c r="S3" s="12"/>
      <c r="T3" s="12"/>
      <c r="U3" s="12"/>
      <c r="V3" s="12"/>
      <c r="W3" s="12"/>
      <c r="X3" s="12"/>
      <c r="Y3" s="12"/>
      <c r="Z3" s="12"/>
    </row>
    <row r="4" ht="25.5" customHeight="1">
      <c r="A4" s="12"/>
      <c r="B4" s="16" t="s">
        <v>347</v>
      </c>
      <c r="C4" s="17"/>
      <c r="D4" s="18" t="s">
        <v>348</v>
      </c>
      <c r="E4" s="18" t="s">
        <v>349</v>
      </c>
      <c r="F4" s="18" t="s">
        <v>79</v>
      </c>
      <c r="G4" s="19"/>
      <c r="H4" s="20"/>
      <c r="I4" s="21"/>
      <c r="J4" s="12"/>
      <c r="K4" s="12"/>
      <c r="L4" s="12"/>
      <c r="M4" s="12"/>
      <c r="N4" s="12"/>
      <c r="O4" s="12"/>
      <c r="P4" s="12"/>
      <c r="Q4" s="12"/>
      <c r="R4" s="12"/>
      <c r="S4" s="12"/>
      <c r="T4" s="12"/>
      <c r="U4" s="12"/>
      <c r="V4" s="12"/>
      <c r="W4" s="12"/>
      <c r="X4" s="12"/>
      <c r="Y4" s="12"/>
      <c r="Z4" s="12"/>
    </row>
    <row r="5" ht="63.0" customHeight="1">
      <c r="A5" s="12"/>
      <c r="B5" s="22"/>
      <c r="C5" s="23"/>
      <c r="D5" s="24"/>
      <c r="E5" s="24"/>
      <c r="F5" s="24"/>
      <c r="G5" s="25"/>
      <c r="H5" s="26"/>
      <c r="I5" s="21"/>
      <c r="J5" s="12"/>
      <c r="K5" s="12"/>
      <c r="L5" s="12"/>
      <c r="M5" s="12"/>
      <c r="N5" s="12"/>
      <c r="O5" s="12"/>
      <c r="P5" s="12"/>
      <c r="Q5" s="12"/>
      <c r="R5" s="12"/>
      <c r="S5" s="12"/>
      <c r="T5" s="12"/>
      <c r="U5" s="12"/>
      <c r="V5" s="12"/>
      <c r="W5" s="12"/>
      <c r="X5" s="12"/>
      <c r="Y5" s="12"/>
      <c r="Z5" s="12"/>
    </row>
    <row r="6" ht="13.5" customHeight="1">
      <c r="A6" s="27"/>
      <c r="B6" s="28">
        <v>1.0</v>
      </c>
      <c r="C6" s="36" t="s">
        <v>350</v>
      </c>
      <c r="D6" s="30" t="s">
        <v>81</v>
      </c>
      <c r="E6" s="37"/>
      <c r="F6" s="39" t="s">
        <v>351</v>
      </c>
      <c r="G6" s="33"/>
      <c r="H6" s="34"/>
      <c r="I6" s="35"/>
      <c r="J6" s="27"/>
      <c r="K6" s="27"/>
      <c r="L6" s="27"/>
      <c r="M6" s="27"/>
      <c r="N6" s="27"/>
      <c r="O6" s="27"/>
      <c r="P6" s="27"/>
      <c r="Q6" s="27"/>
      <c r="R6" s="27"/>
      <c r="S6" s="27"/>
      <c r="T6" s="27"/>
      <c r="U6" s="27"/>
      <c r="V6" s="27"/>
      <c r="W6" s="27"/>
      <c r="X6" s="27"/>
      <c r="Y6" s="27"/>
      <c r="Z6" s="27"/>
    </row>
    <row r="7" ht="13.5" customHeight="1">
      <c r="A7" s="27"/>
      <c r="B7" s="28">
        <v>2.0</v>
      </c>
      <c r="C7" s="36" t="s">
        <v>352</v>
      </c>
      <c r="D7" s="30" t="s">
        <v>81</v>
      </c>
      <c r="E7" s="37"/>
      <c r="F7" s="32"/>
      <c r="G7" s="33"/>
      <c r="H7" s="34"/>
      <c r="I7" s="35"/>
      <c r="J7" s="27"/>
      <c r="K7" s="27"/>
      <c r="L7" s="27"/>
      <c r="M7" s="27"/>
      <c r="N7" s="27"/>
      <c r="O7" s="27"/>
      <c r="P7" s="27"/>
      <c r="Q7" s="27"/>
      <c r="R7" s="27"/>
      <c r="S7" s="27"/>
      <c r="T7" s="27"/>
      <c r="U7" s="27"/>
      <c r="V7" s="27"/>
      <c r="W7" s="27"/>
      <c r="X7" s="27"/>
      <c r="Y7" s="27"/>
      <c r="Z7" s="27"/>
    </row>
    <row r="8" ht="13.5" customHeight="1">
      <c r="A8" s="27"/>
      <c r="B8" s="28">
        <v>3.0</v>
      </c>
      <c r="C8" s="36" t="s">
        <v>353</v>
      </c>
      <c r="D8" s="30" t="s">
        <v>81</v>
      </c>
      <c r="E8" s="37"/>
      <c r="F8" s="32"/>
      <c r="G8" s="33"/>
      <c r="H8" s="34"/>
      <c r="I8" s="35"/>
      <c r="J8" s="27"/>
      <c r="K8" s="27"/>
      <c r="L8" s="27"/>
      <c r="M8" s="27"/>
      <c r="N8" s="27"/>
      <c r="O8" s="27"/>
      <c r="P8" s="27"/>
      <c r="Q8" s="27"/>
      <c r="R8" s="27"/>
      <c r="S8" s="27"/>
      <c r="T8" s="27"/>
      <c r="U8" s="27"/>
      <c r="V8" s="27"/>
      <c r="W8" s="27"/>
      <c r="X8" s="27"/>
      <c r="Y8" s="27"/>
      <c r="Z8" s="27"/>
    </row>
    <row r="9" ht="13.5" customHeight="1">
      <c r="A9" s="27"/>
      <c r="B9" s="28">
        <v>4.0</v>
      </c>
      <c r="C9" s="36" t="s">
        <v>354</v>
      </c>
      <c r="D9" s="30" t="s">
        <v>81</v>
      </c>
      <c r="E9" s="37"/>
      <c r="F9" s="32"/>
      <c r="G9" s="33"/>
      <c r="H9" s="34"/>
      <c r="I9" s="35"/>
      <c r="J9" s="27"/>
      <c r="K9" s="27"/>
      <c r="L9" s="27"/>
      <c r="M9" s="27"/>
      <c r="N9" s="27"/>
      <c r="O9" s="27"/>
      <c r="P9" s="27"/>
      <c r="Q9" s="27"/>
      <c r="R9" s="27"/>
      <c r="S9" s="27"/>
      <c r="T9" s="27"/>
      <c r="U9" s="27"/>
      <c r="V9" s="27"/>
      <c r="W9" s="27"/>
      <c r="X9" s="27"/>
      <c r="Y9" s="27"/>
      <c r="Z9" s="27"/>
    </row>
    <row r="10" ht="13.5" customHeight="1">
      <c r="A10" s="27"/>
      <c r="B10" s="28">
        <v>5.0</v>
      </c>
      <c r="C10" s="36" t="s">
        <v>355</v>
      </c>
      <c r="D10" s="30" t="s">
        <v>81</v>
      </c>
      <c r="E10" s="37"/>
      <c r="F10" s="32"/>
      <c r="G10" s="33"/>
      <c r="H10" s="34"/>
      <c r="I10" s="35"/>
      <c r="J10" s="27"/>
      <c r="K10" s="27"/>
      <c r="L10" s="27"/>
      <c r="M10" s="27"/>
      <c r="N10" s="27"/>
      <c r="O10" s="27"/>
      <c r="P10" s="27"/>
      <c r="Q10" s="27"/>
      <c r="R10" s="27"/>
      <c r="S10" s="27"/>
      <c r="T10" s="27"/>
      <c r="U10" s="27"/>
      <c r="V10" s="27"/>
      <c r="W10" s="27"/>
      <c r="X10" s="27"/>
      <c r="Y10" s="27"/>
      <c r="Z10" s="27"/>
    </row>
    <row r="11" ht="13.5" customHeight="1">
      <c r="A11" s="27"/>
      <c r="B11" s="28">
        <v>6.0</v>
      </c>
      <c r="C11" s="36" t="s">
        <v>356</v>
      </c>
      <c r="D11" s="30" t="s">
        <v>81</v>
      </c>
      <c r="E11" s="37"/>
      <c r="F11" s="32"/>
      <c r="G11" s="33"/>
      <c r="H11" s="34"/>
      <c r="I11" s="35"/>
      <c r="J11" s="27"/>
      <c r="K11" s="27"/>
      <c r="L11" s="27"/>
      <c r="M11" s="27"/>
      <c r="N11" s="27"/>
      <c r="O11" s="27"/>
      <c r="P11" s="27"/>
      <c r="Q11" s="27"/>
      <c r="R11" s="27"/>
      <c r="S11" s="27"/>
      <c r="T11" s="27"/>
      <c r="U11" s="27"/>
      <c r="V11" s="27"/>
      <c r="W11" s="27"/>
      <c r="X11" s="27"/>
      <c r="Y11" s="27"/>
      <c r="Z11" s="27"/>
    </row>
    <row r="12" ht="13.5" customHeight="1">
      <c r="A12" s="27"/>
      <c r="B12" s="28">
        <v>7.0</v>
      </c>
      <c r="C12" s="36" t="s">
        <v>357</v>
      </c>
      <c r="D12" s="30" t="s">
        <v>81</v>
      </c>
      <c r="E12" s="37"/>
      <c r="F12" s="32"/>
      <c r="G12" s="33"/>
      <c r="H12" s="34"/>
      <c r="I12" s="35"/>
      <c r="J12" s="27"/>
      <c r="K12" s="27"/>
      <c r="L12" s="27"/>
      <c r="M12" s="27"/>
      <c r="N12" s="27"/>
      <c r="O12" s="27"/>
      <c r="P12" s="27"/>
      <c r="Q12" s="27"/>
      <c r="R12" s="27"/>
      <c r="S12" s="27"/>
      <c r="T12" s="27"/>
      <c r="U12" s="27"/>
      <c r="V12" s="27"/>
      <c r="W12" s="27"/>
      <c r="X12" s="27"/>
      <c r="Y12" s="27"/>
      <c r="Z12" s="27"/>
    </row>
    <row r="13" ht="13.5" customHeight="1">
      <c r="A13" s="27"/>
      <c r="B13" s="28">
        <v>8.0</v>
      </c>
      <c r="C13" s="36" t="s">
        <v>358</v>
      </c>
      <c r="D13" s="30" t="s">
        <v>81</v>
      </c>
      <c r="E13" s="37"/>
      <c r="F13" s="32"/>
      <c r="G13" s="33"/>
      <c r="H13" s="34"/>
      <c r="I13" s="35"/>
      <c r="J13" s="27"/>
      <c r="K13" s="27"/>
      <c r="L13" s="27"/>
      <c r="M13" s="27"/>
      <c r="N13" s="27"/>
      <c r="O13" s="27"/>
      <c r="P13" s="27"/>
      <c r="Q13" s="27"/>
      <c r="R13" s="27"/>
      <c r="S13" s="27"/>
      <c r="T13" s="27"/>
      <c r="U13" s="27"/>
      <c r="V13" s="27"/>
      <c r="W13" s="27"/>
      <c r="X13" s="27"/>
      <c r="Y13" s="27"/>
      <c r="Z13" s="27"/>
    </row>
    <row r="14" ht="13.5" customHeight="1">
      <c r="A14" s="27"/>
      <c r="B14" s="28">
        <v>9.0</v>
      </c>
      <c r="C14" s="36" t="s">
        <v>359</v>
      </c>
      <c r="D14" s="30" t="s">
        <v>81</v>
      </c>
      <c r="E14" s="37"/>
      <c r="F14" s="32"/>
      <c r="G14" s="33"/>
      <c r="H14" s="34"/>
      <c r="I14" s="35"/>
      <c r="J14" s="27"/>
      <c r="K14" s="27"/>
      <c r="L14" s="27"/>
      <c r="M14" s="27"/>
      <c r="N14" s="27"/>
      <c r="O14" s="27"/>
      <c r="P14" s="27"/>
      <c r="Q14" s="27"/>
      <c r="R14" s="27"/>
      <c r="S14" s="27"/>
      <c r="T14" s="27"/>
      <c r="U14" s="27"/>
      <c r="V14" s="27"/>
      <c r="W14" s="27"/>
      <c r="X14" s="27"/>
      <c r="Y14" s="27"/>
      <c r="Z14" s="27"/>
    </row>
    <row r="15" ht="13.5" customHeight="1">
      <c r="A15" s="27"/>
      <c r="B15" s="28">
        <v>10.0</v>
      </c>
      <c r="C15" s="36" t="s">
        <v>360</v>
      </c>
      <c r="D15" s="30" t="s">
        <v>81</v>
      </c>
      <c r="E15" s="37"/>
      <c r="F15" s="32"/>
      <c r="G15" s="33"/>
      <c r="H15" s="34"/>
      <c r="I15" s="35"/>
      <c r="J15" s="27"/>
      <c r="K15" s="27"/>
      <c r="L15" s="27"/>
      <c r="M15" s="27"/>
      <c r="N15" s="27"/>
      <c r="O15" s="27"/>
      <c r="P15" s="27"/>
      <c r="Q15" s="27"/>
      <c r="R15" s="27"/>
      <c r="S15" s="27"/>
      <c r="T15" s="27"/>
      <c r="U15" s="27"/>
      <c r="V15" s="27"/>
      <c r="W15" s="27"/>
      <c r="X15" s="27"/>
      <c r="Y15" s="27"/>
      <c r="Z15" s="27"/>
    </row>
    <row r="16" ht="13.5" customHeight="1">
      <c r="A16" s="27"/>
      <c r="B16" s="28">
        <v>11.0</v>
      </c>
      <c r="C16" s="36" t="s">
        <v>361</v>
      </c>
      <c r="D16" s="30" t="s">
        <v>81</v>
      </c>
      <c r="E16" s="37"/>
      <c r="F16" s="32"/>
      <c r="G16" s="33"/>
      <c r="H16" s="34"/>
      <c r="I16" s="35"/>
      <c r="J16" s="27"/>
      <c r="K16" s="27"/>
      <c r="L16" s="27"/>
      <c r="M16" s="27"/>
      <c r="N16" s="27"/>
      <c r="O16" s="27"/>
      <c r="P16" s="27"/>
      <c r="Q16" s="27"/>
      <c r="R16" s="27"/>
      <c r="S16" s="27"/>
      <c r="T16" s="27"/>
      <c r="U16" s="27"/>
      <c r="V16" s="27"/>
      <c r="W16" s="27"/>
      <c r="X16" s="27"/>
      <c r="Y16" s="27"/>
      <c r="Z16" s="27"/>
    </row>
    <row r="17" ht="13.5" customHeight="1">
      <c r="A17" s="27"/>
      <c r="B17" s="28">
        <v>12.0</v>
      </c>
      <c r="C17" s="36" t="s">
        <v>362</v>
      </c>
      <c r="D17" s="30" t="s">
        <v>81</v>
      </c>
      <c r="E17" s="37"/>
      <c r="F17" s="32"/>
      <c r="G17" s="33"/>
      <c r="H17" s="34"/>
      <c r="I17" s="35"/>
      <c r="J17" s="27"/>
      <c r="K17" s="27"/>
      <c r="L17" s="27"/>
      <c r="M17" s="27"/>
      <c r="N17" s="27"/>
      <c r="O17" s="27"/>
      <c r="P17" s="27"/>
      <c r="Q17" s="27"/>
      <c r="R17" s="27"/>
      <c r="S17" s="27"/>
      <c r="T17" s="27"/>
      <c r="U17" s="27"/>
      <c r="V17" s="27"/>
      <c r="W17" s="27"/>
      <c r="X17" s="27"/>
      <c r="Y17" s="27"/>
      <c r="Z17" s="27"/>
    </row>
    <row r="18" ht="13.5" customHeight="1">
      <c r="A18" s="27"/>
      <c r="B18" s="28">
        <v>13.0</v>
      </c>
      <c r="C18" s="36" t="s">
        <v>363</v>
      </c>
      <c r="D18" s="30" t="s">
        <v>81</v>
      </c>
      <c r="E18" s="37"/>
      <c r="F18" s="32"/>
      <c r="G18" s="33"/>
      <c r="H18" s="34"/>
      <c r="I18" s="35"/>
      <c r="J18" s="27"/>
      <c r="K18" s="27"/>
      <c r="L18" s="27"/>
      <c r="M18" s="27"/>
      <c r="N18" s="27"/>
      <c r="O18" s="27"/>
      <c r="P18" s="27"/>
      <c r="Q18" s="27"/>
      <c r="R18" s="27"/>
      <c r="S18" s="27"/>
      <c r="T18" s="27"/>
      <c r="U18" s="27"/>
      <c r="V18" s="27"/>
      <c r="W18" s="27"/>
      <c r="X18" s="27"/>
      <c r="Y18" s="27"/>
      <c r="Z18" s="27"/>
    </row>
    <row r="19" ht="13.5" customHeight="1">
      <c r="A19" s="27"/>
      <c r="B19" s="28">
        <v>14.0</v>
      </c>
      <c r="C19" s="36" t="s">
        <v>364</v>
      </c>
      <c r="D19" s="30" t="s">
        <v>81</v>
      </c>
      <c r="E19" s="37"/>
      <c r="F19" s="32"/>
      <c r="G19" s="33"/>
      <c r="H19" s="34"/>
      <c r="I19" s="35"/>
      <c r="J19" s="27"/>
      <c r="K19" s="27"/>
      <c r="L19" s="27"/>
      <c r="M19" s="27"/>
      <c r="N19" s="27"/>
      <c r="O19" s="27"/>
      <c r="P19" s="27"/>
      <c r="Q19" s="27"/>
      <c r="R19" s="27"/>
      <c r="S19" s="27"/>
      <c r="T19" s="27"/>
      <c r="U19" s="27"/>
      <c r="V19" s="27"/>
      <c r="W19" s="27"/>
      <c r="X19" s="27"/>
      <c r="Y19" s="27"/>
      <c r="Z19" s="27"/>
    </row>
    <row r="20" ht="13.5" customHeight="1">
      <c r="A20" s="27"/>
      <c r="B20" s="28">
        <v>15.0</v>
      </c>
      <c r="C20" s="36" t="s">
        <v>365</v>
      </c>
      <c r="D20" s="30" t="s">
        <v>81</v>
      </c>
      <c r="E20" s="37"/>
      <c r="F20" s="32"/>
      <c r="G20" s="33"/>
      <c r="H20" s="34"/>
      <c r="I20" s="35"/>
      <c r="J20" s="27"/>
      <c r="K20" s="27"/>
      <c r="L20" s="27"/>
      <c r="M20" s="27"/>
      <c r="N20" s="27"/>
      <c r="O20" s="27"/>
      <c r="P20" s="27"/>
      <c r="Q20" s="27"/>
      <c r="R20" s="27"/>
      <c r="S20" s="27"/>
      <c r="T20" s="27"/>
      <c r="U20" s="27"/>
      <c r="V20" s="27"/>
      <c r="W20" s="27"/>
      <c r="X20" s="27"/>
      <c r="Y20" s="27"/>
      <c r="Z20" s="27"/>
    </row>
    <row r="21" ht="13.5" customHeight="1">
      <c r="A21" s="27"/>
      <c r="B21" s="28">
        <v>16.0</v>
      </c>
      <c r="C21" s="36" t="s">
        <v>366</v>
      </c>
      <c r="D21" s="30" t="s">
        <v>81</v>
      </c>
      <c r="E21" s="37"/>
      <c r="F21" s="32"/>
      <c r="G21" s="33"/>
      <c r="H21" s="34"/>
      <c r="I21" s="35"/>
      <c r="J21" s="27"/>
      <c r="K21" s="27"/>
      <c r="L21" s="27"/>
      <c r="M21" s="27"/>
      <c r="N21" s="27"/>
      <c r="O21" s="27"/>
      <c r="P21" s="27"/>
      <c r="Q21" s="27"/>
      <c r="R21" s="27"/>
      <c r="S21" s="27"/>
      <c r="T21" s="27"/>
      <c r="U21" s="27"/>
      <c r="V21" s="27"/>
      <c r="W21" s="27"/>
      <c r="X21" s="27"/>
      <c r="Y21" s="27"/>
      <c r="Z21" s="27"/>
    </row>
    <row r="22" ht="13.5" customHeight="1">
      <c r="A22" s="27"/>
      <c r="B22" s="28">
        <v>17.0</v>
      </c>
      <c r="C22" s="36" t="s">
        <v>367</v>
      </c>
      <c r="D22" s="30" t="s">
        <v>81</v>
      </c>
      <c r="E22" s="37"/>
      <c r="F22" s="32"/>
      <c r="G22" s="33"/>
      <c r="H22" s="34"/>
      <c r="I22" s="35"/>
      <c r="J22" s="27"/>
      <c r="K22" s="27"/>
      <c r="L22" s="27"/>
      <c r="M22" s="27"/>
      <c r="N22" s="27"/>
      <c r="O22" s="27"/>
      <c r="P22" s="27"/>
      <c r="Q22" s="27"/>
      <c r="R22" s="27"/>
      <c r="S22" s="27"/>
      <c r="T22" s="27"/>
      <c r="U22" s="27"/>
      <c r="V22" s="27"/>
      <c r="W22" s="27"/>
      <c r="X22" s="27"/>
      <c r="Y22" s="27"/>
      <c r="Z22" s="27"/>
    </row>
    <row r="23" ht="13.5" customHeight="1">
      <c r="A23" s="27"/>
      <c r="B23" s="28">
        <v>18.0</v>
      </c>
      <c r="C23" s="36" t="s">
        <v>368</v>
      </c>
      <c r="D23" s="30" t="s">
        <v>81</v>
      </c>
      <c r="E23" s="37"/>
      <c r="F23" s="32"/>
      <c r="G23" s="33"/>
      <c r="H23" s="34"/>
      <c r="I23" s="35"/>
      <c r="J23" s="27"/>
      <c r="K23" s="27"/>
      <c r="L23" s="27"/>
      <c r="M23" s="27"/>
      <c r="N23" s="27"/>
      <c r="O23" s="27"/>
      <c r="P23" s="27"/>
      <c r="Q23" s="27"/>
      <c r="R23" s="27"/>
      <c r="S23" s="27"/>
      <c r="T23" s="27"/>
      <c r="U23" s="27"/>
      <c r="V23" s="27"/>
      <c r="W23" s="27"/>
      <c r="X23" s="27"/>
      <c r="Y23" s="27"/>
      <c r="Z23" s="27"/>
    </row>
    <row r="24" ht="13.5" customHeight="1">
      <c r="A24" s="27"/>
      <c r="B24" s="28">
        <v>19.0</v>
      </c>
      <c r="C24" s="36" t="s">
        <v>369</v>
      </c>
      <c r="D24" s="30" t="s">
        <v>81</v>
      </c>
      <c r="E24" s="37"/>
      <c r="F24" s="32"/>
      <c r="G24" s="33"/>
      <c r="H24" s="34"/>
      <c r="I24" s="35"/>
      <c r="J24" s="27"/>
      <c r="K24" s="27"/>
      <c r="L24" s="27"/>
      <c r="M24" s="27"/>
      <c r="N24" s="27"/>
      <c r="O24" s="27"/>
      <c r="P24" s="27"/>
      <c r="Q24" s="27"/>
      <c r="R24" s="27"/>
      <c r="S24" s="27"/>
      <c r="T24" s="27"/>
      <c r="U24" s="27"/>
      <c r="V24" s="27"/>
      <c r="W24" s="27"/>
      <c r="X24" s="27"/>
      <c r="Y24" s="27"/>
      <c r="Z24" s="27"/>
    </row>
    <row r="25" ht="13.5" customHeight="1">
      <c r="A25" s="27"/>
      <c r="B25" s="28">
        <v>20.0</v>
      </c>
      <c r="C25" s="36" t="s">
        <v>370</v>
      </c>
      <c r="D25" s="30" t="s">
        <v>81</v>
      </c>
      <c r="E25" s="37"/>
      <c r="F25" s="32"/>
      <c r="G25" s="33"/>
      <c r="H25" s="34"/>
      <c r="I25" s="35"/>
      <c r="J25" s="27"/>
      <c r="K25" s="27"/>
      <c r="L25" s="27"/>
      <c r="M25" s="27"/>
      <c r="N25" s="27"/>
      <c r="O25" s="27"/>
      <c r="P25" s="27"/>
      <c r="Q25" s="27"/>
      <c r="R25" s="27"/>
      <c r="S25" s="27"/>
      <c r="T25" s="27"/>
      <c r="U25" s="27"/>
      <c r="V25" s="27"/>
      <c r="W25" s="27"/>
      <c r="X25" s="27"/>
      <c r="Y25" s="27"/>
      <c r="Z25" s="27"/>
    </row>
    <row r="26" ht="13.5" customHeight="1">
      <c r="A26" s="27"/>
      <c r="B26" s="28">
        <v>21.0</v>
      </c>
      <c r="C26" s="36" t="s">
        <v>371</v>
      </c>
      <c r="D26" s="30" t="s">
        <v>81</v>
      </c>
      <c r="E26" s="37"/>
      <c r="F26" s="32"/>
      <c r="G26" s="33"/>
      <c r="H26" s="34"/>
      <c r="I26" s="35"/>
      <c r="J26" s="27"/>
      <c r="K26" s="27"/>
      <c r="L26" s="27"/>
      <c r="M26" s="27"/>
      <c r="N26" s="27"/>
      <c r="O26" s="27"/>
      <c r="P26" s="27"/>
      <c r="Q26" s="27"/>
      <c r="R26" s="27"/>
      <c r="S26" s="27"/>
      <c r="T26" s="27"/>
      <c r="U26" s="27"/>
      <c r="V26" s="27"/>
      <c r="W26" s="27"/>
      <c r="X26" s="27"/>
      <c r="Y26" s="27"/>
      <c r="Z26" s="27"/>
    </row>
    <row r="27" ht="13.5" customHeight="1">
      <c r="A27" s="27"/>
      <c r="B27" s="28">
        <v>22.0</v>
      </c>
      <c r="C27" s="36" t="s">
        <v>372</v>
      </c>
      <c r="D27" s="30" t="s">
        <v>81</v>
      </c>
      <c r="E27" s="37"/>
      <c r="F27" s="32"/>
      <c r="G27" s="33"/>
      <c r="H27" s="34"/>
      <c r="I27" s="35"/>
      <c r="J27" s="27"/>
      <c r="K27" s="27"/>
      <c r="L27" s="27"/>
      <c r="M27" s="27"/>
      <c r="N27" s="27"/>
      <c r="O27" s="27"/>
      <c r="P27" s="27"/>
      <c r="Q27" s="27"/>
      <c r="R27" s="27"/>
      <c r="S27" s="27"/>
      <c r="T27" s="27"/>
      <c r="U27" s="27"/>
      <c r="V27" s="27"/>
      <c r="W27" s="27"/>
      <c r="X27" s="27"/>
      <c r="Y27" s="27"/>
      <c r="Z27" s="27"/>
    </row>
    <row r="28" ht="13.5" customHeight="1">
      <c r="A28" s="27"/>
      <c r="B28" s="28">
        <v>23.0</v>
      </c>
      <c r="C28" s="36" t="s">
        <v>373</v>
      </c>
      <c r="D28" s="30" t="s">
        <v>81</v>
      </c>
      <c r="E28" s="37"/>
      <c r="F28" s="32"/>
      <c r="G28" s="33"/>
      <c r="H28" s="34"/>
      <c r="I28" s="35"/>
      <c r="J28" s="27"/>
      <c r="K28" s="27"/>
      <c r="L28" s="27"/>
      <c r="M28" s="27"/>
      <c r="N28" s="27"/>
      <c r="O28" s="27"/>
      <c r="P28" s="27"/>
      <c r="Q28" s="27"/>
      <c r="R28" s="27"/>
      <c r="S28" s="27"/>
      <c r="T28" s="27"/>
      <c r="U28" s="27"/>
      <c r="V28" s="27"/>
      <c r="W28" s="27"/>
      <c r="X28" s="27"/>
      <c r="Y28" s="27"/>
      <c r="Z28" s="27"/>
    </row>
    <row r="29" ht="13.5" customHeight="1">
      <c r="A29" s="27"/>
      <c r="B29" s="28">
        <v>24.0</v>
      </c>
      <c r="C29" s="36" t="s">
        <v>374</v>
      </c>
      <c r="D29" s="30" t="s">
        <v>81</v>
      </c>
      <c r="E29" s="37"/>
      <c r="F29" s="32"/>
      <c r="G29" s="33"/>
      <c r="H29" s="34"/>
      <c r="I29" s="35"/>
      <c r="J29" s="27"/>
      <c r="K29" s="27"/>
      <c r="L29" s="27"/>
      <c r="M29" s="27"/>
      <c r="N29" s="27"/>
      <c r="O29" s="27"/>
      <c r="P29" s="27"/>
      <c r="Q29" s="27"/>
      <c r="R29" s="27"/>
      <c r="S29" s="27"/>
      <c r="T29" s="27"/>
      <c r="U29" s="27"/>
      <c r="V29" s="27"/>
      <c r="W29" s="27"/>
      <c r="X29" s="27"/>
      <c r="Y29" s="27"/>
      <c r="Z29" s="27"/>
    </row>
    <row r="30" ht="13.5" customHeight="1">
      <c r="A30" s="27"/>
      <c r="B30" s="28">
        <v>25.0</v>
      </c>
      <c r="C30" s="36" t="s">
        <v>375</v>
      </c>
      <c r="D30" s="30" t="s">
        <v>110</v>
      </c>
      <c r="E30" s="37"/>
      <c r="F30" s="32"/>
      <c r="G30" s="33"/>
      <c r="H30" s="34"/>
      <c r="I30" s="35"/>
      <c r="J30" s="27"/>
      <c r="K30" s="27"/>
      <c r="L30" s="27"/>
      <c r="M30" s="27"/>
      <c r="N30" s="27"/>
      <c r="O30" s="27"/>
      <c r="P30" s="27"/>
      <c r="Q30" s="27"/>
      <c r="R30" s="27"/>
      <c r="S30" s="27"/>
      <c r="T30" s="27"/>
      <c r="U30" s="27"/>
      <c r="V30" s="27"/>
      <c r="W30" s="27"/>
      <c r="X30" s="27"/>
      <c r="Y30" s="27"/>
      <c r="Z30" s="27"/>
    </row>
    <row r="31" ht="13.5" customHeight="1">
      <c r="A31" s="27"/>
      <c r="B31" s="28"/>
      <c r="C31" s="36"/>
      <c r="D31" s="30"/>
      <c r="E31" s="37"/>
      <c r="F31" s="32"/>
      <c r="G31" s="33"/>
      <c r="H31" s="34"/>
      <c r="I31" s="35"/>
      <c r="J31" s="27"/>
      <c r="K31" s="27"/>
      <c r="L31" s="27"/>
      <c r="M31" s="27"/>
      <c r="N31" s="27"/>
      <c r="O31" s="27"/>
      <c r="P31" s="27"/>
      <c r="Q31" s="27"/>
      <c r="R31" s="27"/>
      <c r="S31" s="27"/>
      <c r="T31" s="27"/>
      <c r="U31" s="27"/>
      <c r="V31" s="27"/>
      <c r="W31" s="27"/>
      <c r="X31" s="27"/>
      <c r="Y31" s="27"/>
      <c r="Z31" s="27"/>
    </row>
    <row r="32" ht="13.5" customHeight="1">
      <c r="A32" s="27"/>
      <c r="B32" s="28"/>
      <c r="C32" s="36"/>
      <c r="D32" s="30"/>
      <c r="E32" s="37"/>
      <c r="F32" s="32"/>
      <c r="G32" s="33"/>
      <c r="H32" s="34"/>
      <c r="I32" s="35"/>
      <c r="J32" s="27"/>
      <c r="K32" s="27"/>
      <c r="L32" s="27"/>
      <c r="M32" s="27"/>
      <c r="N32" s="27"/>
      <c r="O32" s="27"/>
      <c r="P32" s="27"/>
      <c r="Q32" s="27"/>
      <c r="R32" s="27"/>
      <c r="S32" s="27"/>
      <c r="T32" s="27"/>
      <c r="U32" s="27"/>
      <c r="V32" s="27"/>
      <c r="W32" s="27"/>
      <c r="X32" s="27"/>
      <c r="Y32" s="27"/>
      <c r="Z32" s="27"/>
    </row>
    <row r="33" ht="13.5" customHeight="1">
      <c r="A33" s="27"/>
      <c r="B33" s="28"/>
      <c r="C33" s="36"/>
      <c r="D33" s="30"/>
      <c r="E33" s="37"/>
      <c r="F33" s="32"/>
      <c r="G33" s="33"/>
      <c r="H33" s="34"/>
      <c r="I33" s="35"/>
      <c r="J33" s="27"/>
      <c r="K33" s="27"/>
      <c r="L33" s="27"/>
      <c r="M33" s="27"/>
      <c r="N33" s="27"/>
      <c r="O33" s="27"/>
      <c r="P33" s="27"/>
      <c r="Q33" s="27"/>
      <c r="R33" s="27"/>
      <c r="S33" s="27"/>
      <c r="T33" s="27"/>
      <c r="U33" s="27"/>
      <c r="V33" s="27"/>
      <c r="W33" s="27"/>
      <c r="X33" s="27"/>
      <c r="Y33" s="27"/>
      <c r="Z33" s="27"/>
    </row>
    <row r="34" ht="13.5" customHeight="1">
      <c r="A34" s="27"/>
      <c r="B34" s="28"/>
      <c r="C34" s="36"/>
      <c r="D34" s="30"/>
      <c r="E34" s="37"/>
      <c r="F34" s="32"/>
      <c r="G34" s="33"/>
      <c r="H34" s="34"/>
      <c r="I34" s="35"/>
      <c r="J34" s="27"/>
      <c r="K34" s="27"/>
      <c r="L34" s="27"/>
      <c r="M34" s="27"/>
      <c r="N34" s="27"/>
      <c r="O34" s="27"/>
      <c r="P34" s="27"/>
      <c r="Q34" s="27"/>
      <c r="R34" s="27"/>
      <c r="S34" s="27"/>
      <c r="T34" s="27"/>
      <c r="U34" s="27"/>
      <c r="V34" s="27"/>
      <c r="W34" s="27"/>
      <c r="X34" s="27"/>
      <c r="Y34" s="27"/>
      <c r="Z34" s="27"/>
    </row>
    <row r="35" ht="16.5" customHeight="1">
      <c r="A35" s="12"/>
      <c r="B35" s="43"/>
      <c r="C35" s="43"/>
      <c r="D35" s="43"/>
      <c r="E35" s="43"/>
      <c r="F35" s="43"/>
      <c r="G35" s="33"/>
      <c r="H35" s="34"/>
      <c r="I35" s="21"/>
      <c r="J35" s="12"/>
      <c r="K35" s="12"/>
      <c r="L35" s="12"/>
      <c r="M35" s="12"/>
      <c r="N35" s="12"/>
      <c r="O35" s="12"/>
      <c r="P35" s="12"/>
      <c r="Q35" s="12"/>
      <c r="R35" s="12"/>
      <c r="S35" s="12"/>
      <c r="T35" s="12"/>
      <c r="U35" s="12"/>
      <c r="V35" s="12"/>
      <c r="W35" s="12"/>
      <c r="X35" s="12"/>
      <c r="Y35" s="12"/>
      <c r="Z35" s="12"/>
    </row>
    <row r="36" ht="13.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3.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3.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3.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3.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3.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3.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3.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3.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3.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3.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3.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3.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3.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3.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3.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3.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3.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3.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3.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3.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3.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3.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3.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3.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3.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3.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3.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3.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3.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3.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3.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3.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3.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3.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3.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3.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3.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3.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3.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3.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3.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3.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3.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3.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3.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3.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3.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3.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3.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3.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3.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3.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3.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3.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3.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3.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3.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3.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3.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3.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3.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3.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3.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3.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3.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3.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3.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3.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3.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3.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3.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3.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3.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3.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3.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3.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3.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3.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3.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3.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3.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3.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3.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3.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3.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3.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3.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3.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3.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3.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3.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3.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3.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3.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3.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3.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3.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3.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3.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3.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3.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3.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3.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3.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3.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3.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3.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3.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3.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3.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3.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3.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3.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3.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3.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3.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3.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3.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3.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3.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3.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3.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3.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3.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3.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3.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3.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3.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3.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3.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3.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3.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3.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3.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3.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3.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3.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3.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3.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3.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3.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3.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3.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3.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3.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3.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3.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3.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3.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3.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3.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3.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3.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3.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3.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3.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3.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3.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3.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3.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3.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3.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3.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3.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3.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3.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3.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3.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3.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3.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3.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3.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3.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3.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3.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3.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3.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3.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3.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3.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3.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3.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3.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3.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3.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3.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3.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3.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3.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3.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3.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3.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3.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3.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3.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3.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3.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3.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3.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3.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3.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3.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3.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3.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3.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3.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3.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3.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3.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3.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3.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3.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3.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3.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3.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3.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3.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3.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3.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3.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3.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3.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3.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3.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3.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3.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3.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3.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3.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3.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3.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3.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3.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3.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3.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3.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3.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3.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3.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3.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3.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3.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3.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3.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3.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3.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3.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3.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3.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3.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3.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3.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3.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3.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3.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3.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3.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3.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3.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3.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3.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3.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3.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3.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3.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3.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3.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3.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3.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3.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3.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3.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3.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3.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3.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3.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3.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3.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3.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3.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3.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3.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3.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3.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3.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3.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3.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3.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3.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3.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3.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3.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3.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3.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3.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3.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3.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3.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3.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3.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3.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3.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3.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3.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3.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3.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3.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3.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3.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3.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3.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3.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3.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3.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3.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3.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3.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3.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3.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3.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3.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3.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3.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3.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3.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3.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3.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3.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3.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3.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3.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3.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3.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3.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3.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3.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3.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3.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3.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3.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3.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3.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3.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3.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3.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3.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3.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3.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3.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3.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3.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3.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3.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3.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3.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3.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3.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3.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3.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3.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3.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3.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3.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3.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3.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3.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3.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3.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3.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3.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3.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3.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3.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3.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3.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3.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3.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3.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3.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3.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3.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3.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3.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3.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3.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3.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3.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3.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3.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3.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3.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3.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3.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3.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3.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3.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3.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3.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3.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3.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3.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3.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3.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3.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3.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3.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3.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3.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3.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3.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3.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3.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3.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3.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3.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3.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3.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3.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3.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3.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3.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3.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3.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3.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3.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3.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3.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3.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3.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3.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3.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3.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3.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3.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3.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3.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3.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3.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3.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3.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3.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3.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3.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3.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3.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3.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3.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3.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3.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3.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3.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3.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3.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3.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3.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3.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3.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3.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3.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3.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3.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3.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3.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3.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3.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3.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3.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3.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3.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3.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3.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3.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3.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3.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3.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3.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3.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3.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3.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3.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3.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3.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3.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3.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3.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3.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3.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3.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3.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3.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3.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3.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3.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3.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3.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3.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3.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3.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3.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3.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3.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3.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3.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3.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3.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3.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3.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3.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3.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3.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3.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3.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3.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3.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3.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3.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3.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3.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3.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3.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3.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3.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3.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3.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3.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3.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3.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3.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3.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3.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3.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3.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3.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3.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3.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3.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3.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3.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3.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3.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3.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3.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3.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3.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3.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3.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3.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3.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3.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3.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3.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3.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3.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3.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3.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3.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3.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3.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3.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3.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3.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3.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3.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3.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3.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3.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3.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3.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3.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3.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3.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3.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3.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3.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3.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3.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3.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3.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3.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3.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3.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3.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3.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3.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3.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3.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3.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3.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3.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3.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3.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3.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3.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3.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3.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3.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3.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3.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3.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3.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3.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3.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3.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3.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3.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3.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3.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3.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3.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3.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3.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3.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3.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3.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3.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3.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3.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3.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3.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3.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3.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3.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3.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3.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3.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3.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3.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3.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3.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3.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3.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3.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3.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3.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3.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3.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3.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3.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3.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3.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3.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3.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3.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3.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3.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3.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3.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3.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3.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3.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3.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3.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3.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3.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3.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3.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3.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3.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3.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3.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3.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3.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3.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3.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3.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3.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3.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3.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3.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3.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3.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3.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3.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3.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3.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3.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3.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3.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3.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3.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3.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3.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3.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3.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3.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3.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3.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3.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3.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3.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3.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3.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3.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3.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3.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3.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3.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3.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3.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3.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3.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3.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3.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3.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3.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3.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3.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3.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3.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3.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3.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3.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3.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3.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3.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3.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3.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3.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3.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3.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3.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3.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3.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3.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3.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3.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3.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3.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3.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3.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3.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3.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3.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3.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3.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3.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3.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3.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3.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3.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3.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3.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3.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3.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3.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3.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3.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3.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3.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3.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3.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3.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3.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3.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3.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3.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3.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3.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3.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3.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3.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3.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3.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3.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3.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3.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3.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3.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3.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3.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3.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3.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3.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3.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3.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3.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3.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3.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3.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3.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3.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3.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3.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3.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3.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3.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3.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3.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3.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3.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3.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3.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3.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3.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3.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3.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3.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3.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3.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3.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3.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3.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3.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3.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3.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3.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3.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3.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3.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3.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3.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3.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3.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3.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3.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3.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3.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3.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3.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3.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3.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3.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3.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3.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3.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3.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3.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3.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3.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3.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3.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3.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3.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3.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3.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3.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3.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3.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3.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3.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3.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3.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3.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3.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3.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3.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3.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3.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3.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3.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3.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3.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3.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3.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3.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3.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3.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3.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3.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3.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3.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3.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3.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3.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3.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3.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3.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3.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3.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3.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3.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3.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3.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3.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3.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3.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3.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3.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3.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3.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3.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3.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3.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3.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3.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3.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3.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3.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3.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3.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3.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3.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3.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3.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3.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3.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3.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3.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3.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3.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3.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3.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3.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3.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3.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3.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3.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3.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3.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3.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3.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3.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3.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3.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3.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3.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3.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3.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3.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3.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3.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3.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3.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3.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3.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3.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3.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3.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3.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3.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3.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3.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3.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3.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3.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3.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3.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3.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3.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3.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3.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3.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3.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3.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3.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3.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3.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3.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3.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3.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3.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3.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3.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3.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3.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3.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3.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3.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3.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3.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3.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3.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3.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3.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6">
    <mergeCell ref="B2:F2"/>
    <mergeCell ref="B4:C5"/>
    <mergeCell ref="D4:D5"/>
    <mergeCell ref="E4:E5"/>
    <mergeCell ref="F4:F5"/>
    <mergeCell ref="G4:H4"/>
  </mergeCells>
  <dataValidations>
    <dataValidation type="list" allowBlank="1" showErrorMessage="1" sqref="E6:E34">
      <formula1>List_1</formula1>
    </dataValidation>
    <dataValidation type="list" allowBlank="1" showErrorMessage="1" sqref="D6:D34">
      <formula1>List_2</formula1>
    </dataValidation>
  </dataValidation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cols>
    <col customWidth="1" min="1" max="1" width="2.86"/>
    <col customWidth="1" min="2" max="2" width="7.43"/>
    <col customWidth="1" min="3" max="3" width="60.71"/>
    <col customWidth="1" min="4" max="4" width="18.86"/>
    <col customWidth="1" min="5" max="5" width="19.86"/>
    <col customWidth="1" min="6" max="6" width="41.43"/>
    <col customWidth="1" min="7" max="8" width="24.71"/>
    <col customWidth="1" min="9" max="26" width="9.14"/>
  </cols>
  <sheetData>
    <row r="1" ht="13.5"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ht="33.75" customHeight="1">
      <c r="A2" s="12"/>
      <c r="B2" s="13" t="s">
        <v>376</v>
      </c>
      <c r="C2" s="14"/>
      <c r="D2" s="14"/>
      <c r="E2" s="14"/>
      <c r="F2" s="5"/>
      <c r="G2" s="12"/>
      <c r="H2" s="12"/>
      <c r="I2" s="12"/>
      <c r="J2" s="12"/>
      <c r="K2" s="12"/>
      <c r="L2" s="12"/>
      <c r="M2" s="12"/>
      <c r="N2" s="12"/>
      <c r="O2" s="12"/>
      <c r="P2" s="12"/>
      <c r="Q2" s="12"/>
      <c r="R2" s="12"/>
      <c r="S2" s="12"/>
      <c r="T2" s="12"/>
      <c r="U2" s="12"/>
      <c r="V2" s="12"/>
      <c r="W2" s="12"/>
      <c r="X2" s="12"/>
      <c r="Y2" s="12"/>
      <c r="Z2" s="12"/>
    </row>
    <row r="3" ht="15.0" customHeight="1">
      <c r="A3" s="12"/>
      <c r="B3" s="12"/>
      <c r="C3" s="12"/>
      <c r="D3" s="12"/>
      <c r="E3" s="12"/>
      <c r="F3" s="12"/>
      <c r="G3" s="12"/>
      <c r="H3" s="12"/>
      <c r="I3" s="12"/>
      <c r="J3" s="12"/>
      <c r="K3" s="12"/>
      <c r="L3" s="12"/>
      <c r="M3" s="12"/>
      <c r="N3" s="12"/>
      <c r="O3" s="12"/>
      <c r="P3" s="12"/>
      <c r="Q3" s="12"/>
      <c r="R3" s="12"/>
      <c r="S3" s="12"/>
      <c r="T3" s="12"/>
      <c r="U3" s="12"/>
      <c r="V3" s="12"/>
      <c r="W3" s="12"/>
      <c r="X3" s="12"/>
      <c r="Y3" s="12"/>
      <c r="Z3" s="12"/>
    </row>
    <row r="4" ht="25.5" customHeight="1">
      <c r="A4" s="12"/>
      <c r="B4" s="16" t="s">
        <v>376</v>
      </c>
      <c r="C4" s="17"/>
      <c r="D4" s="18" t="s">
        <v>377</v>
      </c>
      <c r="E4" s="18" t="s">
        <v>378</v>
      </c>
      <c r="F4" s="18" t="s">
        <v>79</v>
      </c>
      <c r="G4" s="19"/>
      <c r="H4" s="20"/>
      <c r="I4" s="21"/>
      <c r="J4" s="12"/>
      <c r="K4" s="12"/>
      <c r="L4" s="12"/>
      <c r="M4" s="12"/>
      <c r="N4" s="12"/>
      <c r="O4" s="12"/>
      <c r="P4" s="12"/>
      <c r="Q4" s="12"/>
      <c r="R4" s="12"/>
      <c r="S4" s="12"/>
      <c r="T4" s="12"/>
      <c r="U4" s="12"/>
      <c r="V4" s="12"/>
      <c r="W4" s="12"/>
      <c r="X4" s="12"/>
      <c r="Y4" s="12"/>
      <c r="Z4" s="12"/>
    </row>
    <row r="5" ht="63.0" customHeight="1">
      <c r="A5" s="12"/>
      <c r="B5" s="22"/>
      <c r="C5" s="23"/>
      <c r="D5" s="24"/>
      <c r="E5" s="24"/>
      <c r="F5" s="24"/>
      <c r="G5" s="25"/>
      <c r="H5" s="26"/>
      <c r="I5" s="21"/>
      <c r="J5" s="12"/>
      <c r="K5" s="12"/>
      <c r="L5" s="12"/>
      <c r="M5" s="12"/>
      <c r="N5" s="12"/>
      <c r="O5" s="12"/>
      <c r="P5" s="12"/>
      <c r="Q5" s="12"/>
      <c r="R5" s="12"/>
      <c r="S5" s="12"/>
      <c r="T5" s="12"/>
      <c r="U5" s="12"/>
      <c r="V5" s="12"/>
      <c r="W5" s="12"/>
      <c r="X5" s="12"/>
      <c r="Y5" s="12"/>
      <c r="Z5" s="12"/>
    </row>
    <row r="6" ht="13.5" customHeight="1">
      <c r="A6" s="27"/>
      <c r="B6" s="28">
        <v>1.0</v>
      </c>
      <c r="C6" s="36" t="s">
        <v>379</v>
      </c>
      <c r="D6" s="30" t="s">
        <v>81</v>
      </c>
      <c r="E6" s="31" t="s">
        <v>119</v>
      </c>
      <c r="F6" s="32"/>
      <c r="G6" s="33"/>
      <c r="H6" s="34"/>
      <c r="I6" s="35"/>
      <c r="J6" s="27"/>
      <c r="K6" s="27"/>
      <c r="L6" s="27"/>
      <c r="M6" s="27"/>
      <c r="N6" s="27"/>
      <c r="O6" s="27"/>
      <c r="P6" s="27"/>
      <c r="Q6" s="27"/>
      <c r="R6" s="27"/>
      <c r="S6" s="27"/>
      <c r="T6" s="27"/>
      <c r="U6" s="27"/>
      <c r="V6" s="27"/>
      <c r="W6" s="27"/>
      <c r="X6" s="27"/>
      <c r="Y6" s="27"/>
      <c r="Z6" s="27"/>
    </row>
    <row r="7" ht="13.5" customHeight="1">
      <c r="A7" s="27"/>
      <c r="B7" s="28">
        <v>2.0</v>
      </c>
      <c r="C7" s="36" t="s">
        <v>380</v>
      </c>
      <c r="D7" s="30" t="s">
        <v>81</v>
      </c>
      <c r="E7" s="31" t="s">
        <v>119</v>
      </c>
      <c r="F7" s="39" t="s">
        <v>381</v>
      </c>
      <c r="G7" s="33"/>
      <c r="H7" s="34"/>
      <c r="I7" s="35"/>
      <c r="J7" s="27"/>
      <c r="K7" s="27"/>
      <c r="L7" s="27"/>
      <c r="M7" s="27"/>
      <c r="N7" s="27"/>
      <c r="O7" s="27"/>
      <c r="P7" s="27"/>
      <c r="Q7" s="27"/>
      <c r="R7" s="27"/>
      <c r="S7" s="27"/>
      <c r="T7" s="27"/>
      <c r="U7" s="27"/>
      <c r="V7" s="27"/>
      <c r="W7" s="27"/>
      <c r="X7" s="27"/>
      <c r="Y7" s="27"/>
      <c r="Z7" s="27"/>
    </row>
    <row r="8" ht="13.5" customHeight="1">
      <c r="A8" s="27"/>
      <c r="B8" s="28">
        <v>3.0</v>
      </c>
      <c r="C8" s="36" t="s">
        <v>382</v>
      </c>
      <c r="D8" s="30" t="s">
        <v>81</v>
      </c>
      <c r="E8" s="31" t="s">
        <v>119</v>
      </c>
      <c r="F8" s="32"/>
      <c r="G8" s="33"/>
      <c r="H8" s="34"/>
      <c r="I8" s="35"/>
      <c r="J8" s="27"/>
      <c r="K8" s="27"/>
      <c r="L8" s="27"/>
      <c r="M8" s="27"/>
      <c r="N8" s="27"/>
      <c r="O8" s="27"/>
      <c r="P8" s="27"/>
      <c r="Q8" s="27"/>
      <c r="R8" s="27"/>
      <c r="S8" s="27"/>
      <c r="T8" s="27"/>
      <c r="U8" s="27"/>
      <c r="V8" s="27"/>
      <c r="W8" s="27"/>
      <c r="X8" s="27"/>
      <c r="Y8" s="27"/>
      <c r="Z8" s="27"/>
    </row>
    <row r="9" ht="13.5" customHeight="1">
      <c r="A9" s="27"/>
      <c r="B9" s="28">
        <v>4.0</v>
      </c>
      <c r="C9" s="36" t="s">
        <v>383</v>
      </c>
      <c r="D9" s="30" t="s">
        <v>81</v>
      </c>
      <c r="E9" s="31" t="s">
        <v>85</v>
      </c>
      <c r="F9" s="32"/>
      <c r="G9" s="33"/>
      <c r="H9" s="34"/>
      <c r="I9" s="35"/>
      <c r="J9" s="27"/>
      <c r="K9" s="27"/>
      <c r="L9" s="27"/>
      <c r="M9" s="27"/>
      <c r="N9" s="27"/>
      <c r="O9" s="27"/>
      <c r="P9" s="27"/>
      <c r="Q9" s="27"/>
      <c r="R9" s="27"/>
      <c r="S9" s="27"/>
      <c r="T9" s="27"/>
      <c r="U9" s="27"/>
      <c r="V9" s="27"/>
      <c r="W9" s="27"/>
      <c r="X9" s="27"/>
      <c r="Y9" s="27"/>
      <c r="Z9" s="27"/>
    </row>
    <row r="10" ht="13.5" customHeight="1">
      <c r="A10" s="27"/>
      <c r="B10" s="28">
        <v>5.0</v>
      </c>
      <c r="C10" s="36" t="s">
        <v>384</v>
      </c>
      <c r="D10" s="30" t="s">
        <v>81</v>
      </c>
      <c r="E10" s="31" t="s">
        <v>85</v>
      </c>
      <c r="F10" s="32"/>
      <c r="G10" s="33"/>
      <c r="H10" s="34"/>
      <c r="I10" s="35"/>
      <c r="J10" s="27"/>
      <c r="K10" s="27"/>
      <c r="L10" s="27"/>
      <c r="M10" s="27"/>
      <c r="N10" s="27"/>
      <c r="O10" s="27"/>
      <c r="P10" s="27"/>
      <c r="Q10" s="27"/>
      <c r="R10" s="27"/>
      <c r="S10" s="27"/>
      <c r="T10" s="27"/>
      <c r="U10" s="27"/>
      <c r="V10" s="27"/>
      <c r="W10" s="27"/>
      <c r="X10" s="27"/>
      <c r="Y10" s="27"/>
      <c r="Z10" s="27"/>
    </row>
    <row r="11" ht="13.5" customHeight="1">
      <c r="A11" s="27"/>
      <c r="B11" s="28">
        <v>6.0</v>
      </c>
      <c r="C11" s="36" t="s">
        <v>385</v>
      </c>
      <c r="D11" s="30" t="s">
        <v>81</v>
      </c>
      <c r="E11" s="31" t="s">
        <v>119</v>
      </c>
      <c r="F11" s="32"/>
      <c r="G11" s="33"/>
      <c r="H11" s="34"/>
      <c r="I11" s="35"/>
      <c r="J11" s="27"/>
      <c r="K11" s="27"/>
      <c r="L11" s="27"/>
      <c r="M11" s="27"/>
      <c r="N11" s="27"/>
      <c r="O11" s="27"/>
      <c r="P11" s="27"/>
      <c r="Q11" s="27"/>
      <c r="R11" s="27"/>
      <c r="S11" s="27"/>
      <c r="T11" s="27"/>
      <c r="U11" s="27"/>
      <c r="V11" s="27"/>
      <c r="W11" s="27"/>
      <c r="X11" s="27"/>
      <c r="Y11" s="27"/>
      <c r="Z11" s="27"/>
    </row>
    <row r="12" ht="13.5" customHeight="1">
      <c r="A12" s="27"/>
      <c r="B12" s="28">
        <v>7.0</v>
      </c>
      <c r="C12" s="36" t="s">
        <v>386</v>
      </c>
      <c r="D12" s="30" t="s">
        <v>81</v>
      </c>
      <c r="E12" s="31" t="s">
        <v>82</v>
      </c>
      <c r="F12" s="32"/>
      <c r="G12" s="33"/>
      <c r="H12" s="34"/>
      <c r="I12" s="35"/>
      <c r="J12" s="27"/>
      <c r="K12" s="27"/>
      <c r="L12" s="27"/>
      <c r="M12" s="27"/>
      <c r="N12" s="27"/>
      <c r="O12" s="27"/>
      <c r="P12" s="27"/>
      <c r="Q12" s="27"/>
      <c r="R12" s="27"/>
      <c r="S12" s="27"/>
      <c r="T12" s="27"/>
      <c r="U12" s="27"/>
      <c r="V12" s="27"/>
      <c r="W12" s="27"/>
      <c r="X12" s="27"/>
      <c r="Y12" s="27"/>
      <c r="Z12" s="27"/>
    </row>
    <row r="13" ht="13.5" customHeight="1">
      <c r="A13" s="27"/>
      <c r="B13" s="28">
        <v>8.0</v>
      </c>
      <c r="C13" s="36" t="s">
        <v>387</v>
      </c>
      <c r="D13" s="30" t="s">
        <v>81</v>
      </c>
      <c r="E13" s="31" t="s">
        <v>82</v>
      </c>
      <c r="F13" s="32"/>
      <c r="G13" s="33"/>
      <c r="H13" s="34"/>
      <c r="I13" s="35"/>
      <c r="J13" s="27"/>
      <c r="K13" s="27"/>
      <c r="L13" s="27"/>
      <c r="M13" s="27"/>
      <c r="N13" s="27"/>
      <c r="O13" s="27"/>
      <c r="P13" s="27"/>
      <c r="Q13" s="27"/>
      <c r="R13" s="27"/>
      <c r="S13" s="27"/>
      <c r="T13" s="27"/>
      <c r="U13" s="27"/>
      <c r="V13" s="27"/>
      <c r="W13" s="27"/>
      <c r="X13" s="27"/>
      <c r="Y13" s="27"/>
      <c r="Z13" s="27"/>
    </row>
    <row r="14" ht="13.5" customHeight="1">
      <c r="A14" s="27"/>
      <c r="B14" s="28">
        <v>9.0</v>
      </c>
      <c r="C14" s="36" t="s">
        <v>388</v>
      </c>
      <c r="D14" s="30" t="s">
        <v>81</v>
      </c>
      <c r="E14" s="31" t="s">
        <v>82</v>
      </c>
      <c r="F14" s="32"/>
      <c r="G14" s="33"/>
      <c r="H14" s="34"/>
      <c r="I14" s="35"/>
      <c r="J14" s="27"/>
      <c r="K14" s="27"/>
      <c r="L14" s="27"/>
      <c r="M14" s="27"/>
      <c r="N14" s="27"/>
      <c r="O14" s="27"/>
      <c r="P14" s="27"/>
      <c r="Q14" s="27"/>
      <c r="R14" s="27"/>
      <c r="S14" s="27"/>
      <c r="T14" s="27"/>
      <c r="U14" s="27"/>
      <c r="V14" s="27"/>
      <c r="W14" s="27"/>
      <c r="X14" s="27"/>
      <c r="Y14" s="27"/>
      <c r="Z14" s="27"/>
    </row>
    <row r="15" ht="13.5" customHeight="1">
      <c r="A15" s="27"/>
      <c r="B15" s="28">
        <v>10.0</v>
      </c>
      <c r="C15" s="36" t="s">
        <v>389</v>
      </c>
      <c r="D15" s="30" t="s">
        <v>81</v>
      </c>
      <c r="E15" s="31" t="s">
        <v>82</v>
      </c>
      <c r="F15" s="32"/>
      <c r="G15" s="33"/>
      <c r="H15" s="34"/>
      <c r="I15" s="35"/>
      <c r="J15" s="27"/>
      <c r="K15" s="27"/>
      <c r="L15" s="27"/>
      <c r="M15" s="27"/>
      <c r="N15" s="27"/>
      <c r="O15" s="27"/>
      <c r="P15" s="27"/>
      <c r="Q15" s="27"/>
      <c r="R15" s="27"/>
      <c r="S15" s="27"/>
      <c r="T15" s="27"/>
      <c r="U15" s="27"/>
      <c r="V15" s="27"/>
      <c r="W15" s="27"/>
      <c r="X15" s="27"/>
      <c r="Y15" s="27"/>
      <c r="Z15" s="27"/>
    </row>
    <row r="16" ht="13.5" customHeight="1">
      <c r="A16" s="27"/>
      <c r="B16" s="28">
        <v>11.0</v>
      </c>
      <c r="C16" s="36" t="s">
        <v>390</v>
      </c>
      <c r="D16" s="30" t="s">
        <v>81</v>
      </c>
      <c r="E16" s="31" t="s">
        <v>119</v>
      </c>
      <c r="F16" s="32"/>
      <c r="G16" s="33"/>
      <c r="H16" s="34"/>
      <c r="I16" s="35"/>
      <c r="J16" s="27"/>
      <c r="K16" s="27"/>
      <c r="L16" s="27"/>
      <c r="M16" s="27"/>
      <c r="N16" s="27"/>
      <c r="O16" s="27"/>
      <c r="P16" s="27"/>
      <c r="Q16" s="27"/>
      <c r="R16" s="27"/>
      <c r="S16" s="27"/>
      <c r="T16" s="27"/>
      <c r="U16" s="27"/>
      <c r="V16" s="27"/>
      <c r="W16" s="27"/>
      <c r="X16" s="27"/>
      <c r="Y16" s="27"/>
      <c r="Z16" s="27"/>
    </row>
    <row r="17" ht="13.5" customHeight="1">
      <c r="A17" s="27"/>
      <c r="B17" s="28">
        <v>12.0</v>
      </c>
      <c r="C17" s="36"/>
      <c r="D17" s="30"/>
      <c r="E17" s="37"/>
      <c r="F17" s="32"/>
      <c r="G17" s="33"/>
      <c r="H17" s="34"/>
      <c r="I17" s="35"/>
      <c r="J17" s="27"/>
      <c r="K17" s="27"/>
      <c r="L17" s="27"/>
      <c r="M17" s="27"/>
      <c r="N17" s="27"/>
      <c r="O17" s="27"/>
      <c r="P17" s="27"/>
      <c r="Q17" s="27"/>
      <c r="R17" s="27"/>
      <c r="S17" s="27"/>
      <c r="T17" s="27"/>
      <c r="U17" s="27"/>
      <c r="V17" s="27"/>
      <c r="W17" s="27"/>
      <c r="X17" s="27"/>
      <c r="Y17" s="27"/>
      <c r="Z17" s="27"/>
    </row>
    <row r="18" ht="13.5" customHeight="1">
      <c r="A18" s="27"/>
      <c r="B18" s="28">
        <v>13.0</v>
      </c>
      <c r="C18" s="36"/>
      <c r="D18" s="30"/>
      <c r="E18" s="37"/>
      <c r="F18" s="32"/>
      <c r="G18" s="33"/>
      <c r="H18" s="34"/>
      <c r="I18" s="35"/>
      <c r="J18" s="27"/>
      <c r="K18" s="27"/>
      <c r="L18" s="27"/>
      <c r="M18" s="27"/>
      <c r="N18" s="27"/>
      <c r="O18" s="27"/>
      <c r="P18" s="27"/>
      <c r="Q18" s="27"/>
      <c r="R18" s="27"/>
      <c r="S18" s="27"/>
      <c r="T18" s="27"/>
      <c r="U18" s="27"/>
      <c r="V18" s="27"/>
      <c r="W18" s="27"/>
      <c r="X18" s="27"/>
      <c r="Y18" s="27"/>
      <c r="Z18" s="27"/>
    </row>
    <row r="19" ht="13.5" customHeight="1">
      <c r="A19" s="27"/>
      <c r="B19" s="28">
        <v>14.0</v>
      </c>
      <c r="C19" s="36"/>
      <c r="D19" s="30"/>
      <c r="E19" s="37"/>
      <c r="F19" s="32"/>
      <c r="G19" s="33"/>
      <c r="H19" s="34"/>
      <c r="I19" s="35"/>
      <c r="J19" s="27"/>
      <c r="K19" s="27"/>
      <c r="L19" s="27"/>
      <c r="M19" s="27"/>
      <c r="N19" s="27"/>
      <c r="O19" s="27"/>
      <c r="P19" s="27"/>
      <c r="Q19" s="27"/>
      <c r="R19" s="27"/>
      <c r="S19" s="27"/>
      <c r="T19" s="27"/>
      <c r="U19" s="27"/>
      <c r="V19" s="27"/>
      <c r="W19" s="27"/>
      <c r="X19" s="27"/>
      <c r="Y19" s="27"/>
      <c r="Z19" s="27"/>
    </row>
    <row r="20" ht="13.5" customHeight="1">
      <c r="A20" s="27"/>
      <c r="B20" s="28">
        <v>15.0</v>
      </c>
      <c r="C20" s="36"/>
      <c r="D20" s="30"/>
      <c r="E20" s="37"/>
      <c r="F20" s="32"/>
      <c r="G20" s="33"/>
      <c r="H20" s="34"/>
      <c r="I20" s="35"/>
      <c r="J20" s="27"/>
      <c r="K20" s="27"/>
      <c r="L20" s="27"/>
      <c r="M20" s="27"/>
      <c r="N20" s="27"/>
      <c r="O20" s="27"/>
      <c r="P20" s="27"/>
      <c r="Q20" s="27"/>
      <c r="R20" s="27"/>
      <c r="S20" s="27"/>
      <c r="T20" s="27"/>
      <c r="U20" s="27"/>
      <c r="V20" s="27"/>
      <c r="W20" s="27"/>
      <c r="X20" s="27"/>
      <c r="Y20" s="27"/>
      <c r="Z20" s="27"/>
    </row>
    <row r="21" ht="13.5" customHeight="1">
      <c r="A21" s="27"/>
      <c r="B21" s="28">
        <v>16.0</v>
      </c>
      <c r="C21" s="36"/>
      <c r="D21" s="30"/>
      <c r="E21" s="37"/>
      <c r="F21" s="32"/>
      <c r="G21" s="33"/>
      <c r="H21" s="34"/>
      <c r="I21" s="35"/>
      <c r="J21" s="27"/>
      <c r="K21" s="27"/>
      <c r="L21" s="27"/>
      <c r="M21" s="27"/>
      <c r="N21" s="27"/>
      <c r="O21" s="27"/>
      <c r="P21" s="27"/>
      <c r="Q21" s="27"/>
      <c r="R21" s="27"/>
      <c r="S21" s="27"/>
      <c r="T21" s="27"/>
      <c r="U21" s="27"/>
      <c r="V21" s="27"/>
      <c r="W21" s="27"/>
      <c r="X21" s="27"/>
      <c r="Y21" s="27"/>
      <c r="Z21" s="27"/>
    </row>
    <row r="22" ht="13.5" customHeight="1">
      <c r="A22" s="27"/>
      <c r="B22" s="28">
        <v>17.0</v>
      </c>
      <c r="C22" s="36"/>
      <c r="D22" s="30"/>
      <c r="E22" s="37"/>
      <c r="F22" s="32"/>
      <c r="G22" s="33"/>
      <c r="H22" s="34"/>
      <c r="I22" s="35"/>
      <c r="J22" s="27"/>
      <c r="K22" s="27"/>
      <c r="L22" s="27"/>
      <c r="M22" s="27"/>
      <c r="N22" s="27"/>
      <c r="O22" s="27"/>
      <c r="P22" s="27"/>
      <c r="Q22" s="27"/>
      <c r="R22" s="27"/>
      <c r="S22" s="27"/>
      <c r="T22" s="27"/>
      <c r="U22" s="27"/>
      <c r="V22" s="27"/>
      <c r="W22" s="27"/>
      <c r="X22" s="27"/>
      <c r="Y22" s="27"/>
      <c r="Z22" s="27"/>
    </row>
    <row r="23" ht="13.5" customHeight="1">
      <c r="A23" s="27"/>
      <c r="B23" s="28">
        <v>18.0</v>
      </c>
      <c r="C23" s="36"/>
      <c r="D23" s="30"/>
      <c r="E23" s="37"/>
      <c r="F23" s="32"/>
      <c r="G23" s="33"/>
      <c r="H23" s="34"/>
      <c r="I23" s="35"/>
      <c r="J23" s="27"/>
      <c r="K23" s="27"/>
      <c r="L23" s="27"/>
      <c r="M23" s="27"/>
      <c r="N23" s="27"/>
      <c r="O23" s="27"/>
      <c r="P23" s="27"/>
      <c r="Q23" s="27"/>
      <c r="R23" s="27"/>
      <c r="S23" s="27"/>
      <c r="T23" s="27"/>
      <c r="U23" s="27"/>
      <c r="V23" s="27"/>
      <c r="W23" s="27"/>
      <c r="X23" s="27"/>
      <c r="Y23" s="27"/>
      <c r="Z23" s="27"/>
    </row>
    <row r="24" ht="13.5" customHeight="1">
      <c r="A24" s="27"/>
      <c r="B24" s="28">
        <v>19.0</v>
      </c>
      <c r="C24" s="36"/>
      <c r="D24" s="30"/>
      <c r="E24" s="37"/>
      <c r="F24" s="32"/>
      <c r="G24" s="33"/>
      <c r="H24" s="34"/>
      <c r="I24" s="35"/>
      <c r="J24" s="27"/>
      <c r="K24" s="27"/>
      <c r="L24" s="27"/>
      <c r="M24" s="27"/>
      <c r="N24" s="27"/>
      <c r="O24" s="27"/>
      <c r="P24" s="27"/>
      <c r="Q24" s="27"/>
      <c r="R24" s="27"/>
      <c r="S24" s="27"/>
      <c r="T24" s="27"/>
      <c r="U24" s="27"/>
      <c r="V24" s="27"/>
      <c r="W24" s="27"/>
      <c r="X24" s="27"/>
      <c r="Y24" s="27"/>
      <c r="Z24" s="27"/>
    </row>
    <row r="25" ht="13.5" customHeight="1">
      <c r="A25" s="27"/>
      <c r="B25" s="28">
        <v>20.0</v>
      </c>
      <c r="C25" s="36"/>
      <c r="D25" s="30"/>
      <c r="E25" s="37"/>
      <c r="F25" s="32"/>
      <c r="G25" s="33"/>
      <c r="H25" s="34"/>
      <c r="I25" s="35"/>
      <c r="J25" s="27"/>
      <c r="K25" s="27"/>
      <c r="L25" s="27"/>
      <c r="M25" s="27"/>
      <c r="N25" s="27"/>
      <c r="O25" s="27"/>
      <c r="P25" s="27"/>
      <c r="Q25" s="27"/>
      <c r="R25" s="27"/>
      <c r="S25" s="27"/>
      <c r="T25" s="27"/>
      <c r="U25" s="27"/>
      <c r="V25" s="27"/>
      <c r="W25" s="27"/>
      <c r="X25" s="27"/>
      <c r="Y25" s="27"/>
      <c r="Z25" s="27"/>
    </row>
    <row r="26" ht="13.5" customHeight="1">
      <c r="A26" s="27"/>
      <c r="B26" s="28">
        <v>21.0</v>
      </c>
      <c r="C26" s="36"/>
      <c r="D26" s="30"/>
      <c r="E26" s="37"/>
      <c r="F26" s="32"/>
      <c r="G26" s="33"/>
      <c r="H26" s="34"/>
      <c r="I26" s="35"/>
      <c r="J26" s="27"/>
      <c r="K26" s="27"/>
      <c r="L26" s="27"/>
      <c r="M26" s="27"/>
      <c r="N26" s="27"/>
      <c r="O26" s="27"/>
      <c r="P26" s="27"/>
      <c r="Q26" s="27"/>
      <c r="R26" s="27"/>
      <c r="S26" s="27"/>
      <c r="T26" s="27"/>
      <c r="U26" s="27"/>
      <c r="V26" s="27"/>
      <c r="W26" s="27"/>
      <c r="X26" s="27"/>
      <c r="Y26" s="27"/>
      <c r="Z26" s="27"/>
    </row>
    <row r="27" ht="13.5" customHeight="1">
      <c r="A27" s="27"/>
      <c r="B27" s="28">
        <v>22.0</v>
      </c>
      <c r="C27" s="36"/>
      <c r="D27" s="30"/>
      <c r="E27" s="37"/>
      <c r="F27" s="32"/>
      <c r="G27" s="33"/>
      <c r="H27" s="34"/>
      <c r="I27" s="35"/>
      <c r="J27" s="27"/>
      <c r="K27" s="27"/>
      <c r="L27" s="27"/>
      <c r="M27" s="27"/>
      <c r="N27" s="27"/>
      <c r="O27" s="27"/>
      <c r="P27" s="27"/>
      <c r="Q27" s="27"/>
      <c r="R27" s="27"/>
      <c r="S27" s="27"/>
      <c r="T27" s="27"/>
      <c r="U27" s="27"/>
      <c r="V27" s="27"/>
      <c r="W27" s="27"/>
      <c r="X27" s="27"/>
      <c r="Y27" s="27"/>
      <c r="Z27" s="27"/>
    </row>
    <row r="28" ht="13.5" customHeight="1">
      <c r="A28" s="27"/>
      <c r="B28" s="28">
        <v>23.0</v>
      </c>
      <c r="C28" s="36"/>
      <c r="D28" s="30"/>
      <c r="E28" s="37"/>
      <c r="F28" s="32"/>
      <c r="G28" s="33"/>
      <c r="H28" s="34"/>
      <c r="I28" s="35"/>
      <c r="J28" s="27"/>
      <c r="K28" s="27"/>
      <c r="L28" s="27"/>
      <c r="M28" s="27"/>
      <c r="N28" s="27"/>
      <c r="O28" s="27"/>
      <c r="P28" s="27"/>
      <c r="Q28" s="27"/>
      <c r="R28" s="27"/>
      <c r="S28" s="27"/>
      <c r="T28" s="27"/>
      <c r="U28" s="27"/>
      <c r="V28" s="27"/>
      <c r="W28" s="27"/>
      <c r="X28" s="27"/>
      <c r="Y28" s="27"/>
      <c r="Z28" s="27"/>
    </row>
    <row r="29" ht="13.5" customHeight="1">
      <c r="A29" s="27"/>
      <c r="B29" s="28">
        <v>24.0</v>
      </c>
      <c r="C29" s="36"/>
      <c r="D29" s="30"/>
      <c r="E29" s="37"/>
      <c r="F29" s="32"/>
      <c r="G29" s="33"/>
      <c r="H29" s="34"/>
      <c r="I29" s="35"/>
      <c r="J29" s="27"/>
      <c r="K29" s="27"/>
      <c r="L29" s="27"/>
      <c r="M29" s="27"/>
      <c r="N29" s="27"/>
      <c r="O29" s="27"/>
      <c r="P29" s="27"/>
      <c r="Q29" s="27"/>
      <c r="R29" s="27"/>
      <c r="S29" s="27"/>
      <c r="T29" s="27"/>
      <c r="U29" s="27"/>
      <c r="V29" s="27"/>
      <c r="W29" s="27"/>
      <c r="X29" s="27"/>
      <c r="Y29" s="27"/>
      <c r="Z29" s="27"/>
    </row>
    <row r="30" ht="13.5" customHeight="1">
      <c r="A30" s="27"/>
      <c r="B30" s="28">
        <v>25.0</v>
      </c>
      <c r="C30" s="36"/>
      <c r="D30" s="30"/>
      <c r="E30" s="37"/>
      <c r="F30" s="32"/>
      <c r="G30" s="33"/>
      <c r="H30" s="34"/>
      <c r="I30" s="35"/>
      <c r="J30" s="27"/>
      <c r="K30" s="27"/>
      <c r="L30" s="27"/>
      <c r="M30" s="27"/>
      <c r="N30" s="27"/>
      <c r="O30" s="27"/>
      <c r="P30" s="27"/>
      <c r="Q30" s="27"/>
      <c r="R30" s="27"/>
      <c r="S30" s="27"/>
      <c r="T30" s="27"/>
      <c r="U30" s="27"/>
      <c r="V30" s="27"/>
      <c r="W30" s="27"/>
      <c r="X30" s="27"/>
      <c r="Y30" s="27"/>
      <c r="Z30" s="27"/>
    </row>
    <row r="31" ht="13.5" customHeight="1">
      <c r="A31" s="27"/>
      <c r="B31" s="28"/>
      <c r="C31" s="36"/>
      <c r="D31" s="30"/>
      <c r="E31" s="37"/>
      <c r="F31" s="32"/>
      <c r="G31" s="33"/>
      <c r="H31" s="34"/>
      <c r="I31" s="35"/>
      <c r="J31" s="27"/>
      <c r="K31" s="27"/>
      <c r="L31" s="27"/>
      <c r="M31" s="27"/>
      <c r="N31" s="27"/>
      <c r="O31" s="27"/>
      <c r="P31" s="27"/>
      <c r="Q31" s="27"/>
      <c r="R31" s="27"/>
      <c r="S31" s="27"/>
      <c r="T31" s="27"/>
      <c r="U31" s="27"/>
      <c r="V31" s="27"/>
      <c r="W31" s="27"/>
      <c r="X31" s="27"/>
      <c r="Y31" s="27"/>
      <c r="Z31" s="27"/>
    </row>
    <row r="32" ht="13.5" customHeight="1">
      <c r="A32" s="27"/>
      <c r="B32" s="28"/>
      <c r="C32" s="36"/>
      <c r="D32" s="30"/>
      <c r="E32" s="37"/>
      <c r="F32" s="32"/>
      <c r="G32" s="33"/>
      <c r="H32" s="34"/>
      <c r="I32" s="35"/>
      <c r="J32" s="27"/>
      <c r="K32" s="27"/>
      <c r="L32" s="27"/>
      <c r="M32" s="27"/>
      <c r="N32" s="27"/>
      <c r="O32" s="27"/>
      <c r="P32" s="27"/>
      <c r="Q32" s="27"/>
      <c r="R32" s="27"/>
      <c r="S32" s="27"/>
      <c r="T32" s="27"/>
      <c r="U32" s="27"/>
      <c r="V32" s="27"/>
      <c r="W32" s="27"/>
      <c r="X32" s="27"/>
      <c r="Y32" s="27"/>
      <c r="Z32" s="27"/>
    </row>
    <row r="33" ht="13.5" customHeight="1">
      <c r="A33" s="27"/>
      <c r="B33" s="28"/>
      <c r="C33" s="36"/>
      <c r="D33" s="30"/>
      <c r="E33" s="37"/>
      <c r="F33" s="32"/>
      <c r="G33" s="33"/>
      <c r="H33" s="34"/>
      <c r="I33" s="35"/>
      <c r="J33" s="27"/>
      <c r="K33" s="27"/>
      <c r="L33" s="27"/>
      <c r="M33" s="27"/>
      <c r="N33" s="27"/>
      <c r="O33" s="27"/>
      <c r="P33" s="27"/>
      <c r="Q33" s="27"/>
      <c r="R33" s="27"/>
      <c r="S33" s="27"/>
      <c r="T33" s="27"/>
      <c r="U33" s="27"/>
      <c r="V33" s="27"/>
      <c r="W33" s="27"/>
      <c r="X33" s="27"/>
      <c r="Y33" s="27"/>
      <c r="Z33" s="27"/>
    </row>
    <row r="34" ht="13.5" customHeight="1">
      <c r="A34" s="27"/>
      <c r="B34" s="28"/>
      <c r="C34" s="36"/>
      <c r="D34" s="30"/>
      <c r="E34" s="37"/>
      <c r="F34" s="32"/>
      <c r="G34" s="33"/>
      <c r="H34" s="34"/>
      <c r="I34" s="35"/>
      <c r="J34" s="27"/>
      <c r="K34" s="27"/>
      <c r="L34" s="27"/>
      <c r="M34" s="27"/>
      <c r="N34" s="27"/>
      <c r="O34" s="27"/>
      <c r="P34" s="27"/>
      <c r="Q34" s="27"/>
      <c r="R34" s="27"/>
      <c r="S34" s="27"/>
      <c r="T34" s="27"/>
      <c r="U34" s="27"/>
      <c r="V34" s="27"/>
      <c r="W34" s="27"/>
      <c r="X34" s="27"/>
      <c r="Y34" s="27"/>
      <c r="Z34" s="27"/>
    </row>
    <row r="35" ht="16.5" customHeight="1">
      <c r="A35" s="12"/>
      <c r="B35" s="43"/>
      <c r="C35" s="43"/>
      <c r="D35" s="43"/>
      <c r="E35" s="43"/>
      <c r="F35" s="43"/>
      <c r="G35" s="33"/>
      <c r="H35" s="34"/>
      <c r="I35" s="21"/>
      <c r="J35" s="12"/>
      <c r="K35" s="12"/>
      <c r="L35" s="12"/>
      <c r="M35" s="12"/>
      <c r="N35" s="12"/>
      <c r="O35" s="12"/>
      <c r="P35" s="12"/>
      <c r="Q35" s="12"/>
      <c r="R35" s="12"/>
      <c r="S35" s="12"/>
      <c r="T35" s="12"/>
      <c r="U35" s="12"/>
      <c r="V35" s="12"/>
      <c r="W35" s="12"/>
      <c r="X35" s="12"/>
      <c r="Y35" s="12"/>
      <c r="Z35" s="12"/>
    </row>
    <row r="36" ht="13.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3.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3.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3.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3.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3.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3.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3.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3.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3.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3.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3.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3.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3.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3.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3.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3.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3.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3.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3.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3.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3.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3.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3.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3.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3.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3.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3.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3.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3.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3.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3.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3.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3.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3.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3.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3.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3.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3.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3.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3.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3.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3.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3.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3.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3.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3.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3.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3.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3.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3.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3.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3.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3.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3.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3.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3.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3.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3.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3.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3.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3.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3.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3.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3.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3.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3.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3.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3.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3.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3.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3.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3.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3.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3.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3.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3.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3.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3.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3.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3.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3.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3.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3.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3.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3.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3.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3.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3.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3.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3.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3.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3.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3.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3.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3.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3.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3.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3.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3.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3.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3.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3.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3.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3.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3.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3.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3.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3.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3.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3.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3.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3.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3.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3.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3.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3.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3.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3.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3.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3.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3.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3.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3.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3.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3.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3.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3.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3.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3.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3.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3.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3.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3.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3.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3.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3.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3.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3.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3.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3.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3.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3.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3.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3.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3.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3.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3.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3.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3.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3.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3.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3.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3.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3.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3.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3.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3.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3.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3.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3.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3.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3.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3.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3.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3.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3.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3.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3.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3.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3.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3.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3.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3.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3.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3.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3.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3.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3.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3.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3.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3.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3.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3.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3.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3.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3.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3.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3.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3.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3.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3.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3.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3.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3.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3.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3.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3.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3.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3.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3.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3.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3.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3.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3.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3.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3.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3.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3.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3.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3.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3.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3.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3.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3.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3.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3.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3.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3.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3.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3.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3.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3.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3.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3.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3.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3.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3.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3.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3.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3.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3.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3.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3.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3.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3.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3.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3.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3.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3.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3.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3.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3.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3.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3.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3.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3.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3.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3.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3.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3.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3.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3.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3.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3.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3.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3.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3.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3.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3.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3.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3.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3.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3.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3.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3.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3.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3.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3.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3.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3.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3.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3.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3.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3.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3.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3.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3.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3.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3.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3.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3.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3.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3.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3.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3.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3.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3.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3.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3.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3.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3.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3.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3.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3.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3.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3.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3.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3.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3.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3.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3.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3.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3.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3.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3.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3.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3.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3.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3.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3.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3.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3.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3.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3.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3.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3.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3.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3.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3.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3.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3.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3.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3.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3.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3.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3.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3.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3.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3.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3.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3.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3.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3.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3.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3.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3.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3.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3.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3.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3.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3.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3.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3.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3.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3.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3.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3.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3.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3.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3.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3.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3.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3.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3.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3.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3.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3.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3.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3.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3.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3.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3.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3.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3.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3.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3.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3.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3.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3.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3.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3.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3.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3.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3.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3.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3.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3.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3.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3.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3.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3.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3.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3.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3.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3.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3.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3.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3.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3.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3.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3.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3.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3.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3.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3.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3.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3.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3.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3.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3.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3.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3.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3.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3.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3.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3.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3.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3.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3.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3.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3.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3.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3.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3.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3.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3.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3.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3.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3.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3.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3.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3.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3.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3.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3.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3.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3.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3.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3.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3.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3.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3.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3.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3.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3.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3.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3.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3.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3.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3.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3.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3.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3.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3.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3.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3.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3.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3.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3.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3.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3.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3.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3.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3.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3.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3.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3.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3.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3.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3.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3.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3.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3.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3.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3.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3.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3.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3.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3.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3.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3.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3.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3.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3.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3.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3.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3.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3.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3.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3.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3.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3.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3.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3.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3.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3.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3.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3.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3.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3.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3.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3.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3.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3.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3.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3.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3.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3.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3.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3.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3.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3.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3.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3.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3.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3.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3.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3.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3.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3.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3.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3.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3.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3.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3.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3.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3.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3.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3.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3.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3.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3.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3.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3.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3.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3.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3.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3.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3.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3.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3.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3.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3.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3.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3.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3.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3.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3.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3.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3.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3.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3.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3.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3.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3.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3.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3.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3.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3.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3.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3.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3.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3.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3.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3.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3.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3.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3.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3.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3.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3.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3.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3.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3.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3.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3.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3.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3.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3.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3.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3.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3.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3.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3.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3.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3.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3.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3.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3.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3.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3.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3.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3.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3.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3.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3.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3.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3.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3.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3.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3.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3.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3.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3.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3.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3.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3.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3.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3.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3.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3.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3.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3.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3.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3.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3.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3.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3.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3.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3.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3.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3.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3.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3.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3.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3.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3.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3.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3.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3.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3.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3.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3.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3.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3.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3.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3.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3.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3.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3.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3.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3.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3.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3.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3.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3.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3.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3.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3.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3.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3.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3.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3.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3.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3.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3.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3.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3.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3.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3.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3.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3.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3.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3.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3.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3.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3.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3.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3.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3.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3.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3.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3.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3.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3.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3.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3.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3.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3.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3.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3.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3.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3.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3.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3.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3.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3.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3.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3.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3.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3.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3.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3.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3.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3.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3.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3.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3.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3.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3.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3.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3.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3.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3.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3.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3.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3.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3.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3.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3.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3.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3.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3.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3.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3.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3.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3.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3.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3.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3.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3.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3.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3.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3.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3.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3.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3.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3.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3.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3.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3.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3.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3.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3.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3.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3.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3.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3.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3.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3.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3.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3.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3.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3.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3.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3.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3.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3.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3.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3.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3.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3.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3.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3.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3.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3.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3.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3.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3.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3.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3.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3.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3.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3.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3.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3.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3.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3.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3.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3.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3.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3.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3.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3.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3.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3.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3.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3.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3.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3.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3.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3.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3.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3.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3.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3.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3.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3.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3.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3.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3.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3.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3.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3.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3.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3.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3.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3.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3.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3.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3.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3.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3.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3.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3.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3.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3.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3.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3.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3.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3.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3.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3.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3.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3.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3.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3.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3.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3.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3.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3.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3.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3.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3.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3.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3.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3.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3.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3.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3.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3.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3.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3.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3.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3.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3.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3.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3.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3.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3.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3.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3.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3.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3.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3.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3.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3.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3.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3.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3.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3.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3.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3.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3.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3.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3.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3.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3.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3.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3.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3.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3.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3.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3.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3.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3.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3.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3.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3.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3.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3.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3.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3.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3.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3.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3.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3.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3.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3.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3.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3.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3.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3.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3.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3.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3.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3.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3.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3.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3.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3.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3.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3.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3.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3.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3.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3.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3.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3.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3.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3.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3.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3.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3.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3.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3.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3.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3.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3.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3.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3.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3.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3.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3.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3.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3.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3.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3.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3.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3.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3.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3.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3.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3.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3.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3.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3.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3.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3.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3.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3.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3.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3.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3.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3.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3.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3.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3.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3.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3.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3.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3.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3.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3.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3.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3.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3.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3.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3.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3.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3.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3.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3.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3.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3.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3.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3.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3.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3.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3.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3.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3.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3.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3.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3.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3.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3.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3.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3.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3.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3.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3.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3.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3.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6">
    <mergeCell ref="B2:F2"/>
    <mergeCell ref="B4:C5"/>
    <mergeCell ref="D4:D5"/>
    <mergeCell ref="E4:E5"/>
    <mergeCell ref="F4:F5"/>
    <mergeCell ref="G4:H4"/>
  </mergeCells>
  <dataValidations>
    <dataValidation type="list" allowBlank="1" showErrorMessage="1" sqref="E6:E34">
      <formula1>List_1</formula1>
    </dataValidation>
    <dataValidation type="list" allowBlank="1" showErrorMessage="1" sqref="D6:D34">
      <formula1>List_2</formula1>
    </dataValidation>
  </dataValidation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showGridLines="0" workbookViewId="0"/>
  </sheetViews>
  <sheetFormatPr customHeight="1" defaultColWidth="14.43" defaultRowHeight="15.0"/>
  <cols>
    <col customWidth="1" min="1" max="1" width="2.86"/>
    <col customWidth="1" min="2" max="2" width="7.43"/>
    <col customWidth="1" min="3" max="3" width="60.71"/>
    <col customWidth="1" min="4" max="4" width="18.86"/>
    <col customWidth="1" min="5" max="5" width="19.86"/>
    <col customWidth="1" min="6" max="6" width="41.43"/>
    <col customWidth="1" min="7" max="8" width="24.71"/>
    <col customWidth="1" min="9" max="26" width="9.14"/>
  </cols>
  <sheetData>
    <row r="1" ht="13.5"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ht="33.75" customHeight="1">
      <c r="A2" s="12"/>
      <c r="B2" s="13" t="s">
        <v>391</v>
      </c>
      <c r="C2" s="14"/>
      <c r="D2" s="14"/>
      <c r="E2" s="14"/>
      <c r="F2" s="5"/>
      <c r="G2" s="12"/>
      <c r="H2" s="12"/>
      <c r="I2" s="12"/>
      <c r="J2" s="12"/>
      <c r="K2" s="12"/>
      <c r="L2" s="12"/>
      <c r="M2" s="12"/>
      <c r="N2" s="12"/>
      <c r="O2" s="12"/>
      <c r="P2" s="12"/>
      <c r="Q2" s="12"/>
      <c r="R2" s="12"/>
      <c r="S2" s="12"/>
      <c r="T2" s="12"/>
      <c r="U2" s="12"/>
      <c r="V2" s="12"/>
      <c r="W2" s="12"/>
      <c r="X2" s="12"/>
      <c r="Y2" s="12"/>
      <c r="Z2" s="12"/>
    </row>
    <row r="3" ht="13.5" customHeight="1">
      <c r="A3" s="12"/>
      <c r="B3" s="12"/>
      <c r="C3" s="12"/>
      <c r="D3" s="12"/>
      <c r="E3" s="12"/>
      <c r="F3" s="12"/>
      <c r="G3" s="12"/>
      <c r="H3" s="12"/>
      <c r="I3" s="12"/>
      <c r="J3" s="12"/>
      <c r="K3" s="12"/>
      <c r="L3" s="12"/>
      <c r="M3" s="12"/>
      <c r="N3" s="12"/>
      <c r="O3" s="12"/>
      <c r="P3" s="12"/>
      <c r="Q3" s="12"/>
      <c r="R3" s="12"/>
      <c r="S3" s="12"/>
      <c r="T3" s="12"/>
      <c r="U3" s="12"/>
      <c r="V3" s="12"/>
      <c r="W3" s="12"/>
      <c r="X3" s="12"/>
      <c r="Y3" s="12"/>
      <c r="Z3" s="12"/>
    </row>
    <row r="4" ht="25.5" customHeight="1">
      <c r="A4" s="12"/>
      <c r="B4" s="16" t="s">
        <v>391</v>
      </c>
      <c r="C4" s="17"/>
      <c r="D4" s="18" t="s">
        <v>392</v>
      </c>
      <c r="E4" s="18" t="s">
        <v>393</v>
      </c>
      <c r="F4" s="18" t="s">
        <v>79</v>
      </c>
      <c r="G4" s="19"/>
      <c r="H4" s="20"/>
      <c r="I4" s="21"/>
      <c r="J4" s="12"/>
      <c r="K4" s="12"/>
      <c r="L4" s="12"/>
      <c r="M4" s="12"/>
      <c r="N4" s="12"/>
      <c r="O4" s="12"/>
      <c r="P4" s="12"/>
      <c r="Q4" s="12"/>
      <c r="R4" s="12"/>
      <c r="S4" s="12"/>
      <c r="T4" s="12"/>
      <c r="U4" s="12"/>
      <c r="V4" s="12"/>
      <c r="W4" s="12"/>
      <c r="X4" s="12"/>
      <c r="Y4" s="12"/>
      <c r="Z4" s="12"/>
    </row>
    <row r="5" ht="63.0" customHeight="1">
      <c r="A5" s="12"/>
      <c r="B5" s="22"/>
      <c r="C5" s="23"/>
      <c r="D5" s="24"/>
      <c r="E5" s="24"/>
      <c r="F5" s="24"/>
      <c r="G5" s="25"/>
      <c r="H5" s="26"/>
      <c r="I5" s="21"/>
      <c r="J5" s="12"/>
      <c r="K5" s="12"/>
      <c r="L5" s="12"/>
      <c r="M5" s="12"/>
      <c r="N5" s="12"/>
      <c r="O5" s="12"/>
      <c r="P5" s="12"/>
      <c r="Q5" s="12"/>
      <c r="R5" s="12"/>
      <c r="S5" s="12"/>
      <c r="T5" s="12"/>
      <c r="U5" s="12"/>
      <c r="V5" s="12"/>
      <c r="W5" s="12"/>
      <c r="X5" s="12"/>
      <c r="Y5" s="12"/>
      <c r="Z5" s="12"/>
    </row>
    <row r="6" ht="13.5" customHeight="1">
      <c r="A6" s="27"/>
      <c r="B6" s="28">
        <v>1.0</v>
      </c>
      <c r="C6" s="36" t="s">
        <v>394</v>
      </c>
      <c r="D6" s="30" t="s">
        <v>81</v>
      </c>
      <c r="E6" s="37"/>
      <c r="F6" s="32"/>
      <c r="G6" s="33"/>
      <c r="H6" s="34"/>
      <c r="I6" s="35"/>
      <c r="J6" s="27"/>
      <c r="K6" s="27"/>
      <c r="L6" s="27"/>
      <c r="M6" s="27"/>
      <c r="N6" s="27"/>
      <c r="O6" s="27"/>
      <c r="P6" s="27"/>
      <c r="Q6" s="27"/>
      <c r="R6" s="27"/>
      <c r="S6" s="27"/>
      <c r="T6" s="27"/>
      <c r="U6" s="27"/>
      <c r="V6" s="27"/>
      <c r="W6" s="27"/>
      <c r="X6" s="27"/>
      <c r="Y6" s="27"/>
      <c r="Z6" s="27"/>
    </row>
    <row r="7" ht="13.5" customHeight="1">
      <c r="A7" s="27"/>
      <c r="B7" s="28">
        <v>2.0</v>
      </c>
      <c r="C7" s="36" t="s">
        <v>395</v>
      </c>
      <c r="D7" s="30" t="s">
        <v>81</v>
      </c>
      <c r="E7" s="37"/>
      <c r="F7" s="32"/>
      <c r="G7" s="33"/>
      <c r="H7" s="34"/>
      <c r="I7" s="35"/>
      <c r="J7" s="27"/>
      <c r="K7" s="27"/>
      <c r="L7" s="27"/>
      <c r="M7" s="27"/>
      <c r="N7" s="27"/>
      <c r="O7" s="27"/>
      <c r="P7" s="27"/>
      <c r="Q7" s="27"/>
      <c r="R7" s="27"/>
      <c r="S7" s="27"/>
      <c r="T7" s="27"/>
      <c r="U7" s="27"/>
      <c r="V7" s="27"/>
      <c r="W7" s="27"/>
      <c r="X7" s="27"/>
      <c r="Y7" s="27"/>
      <c r="Z7" s="27"/>
    </row>
    <row r="8" ht="13.5" customHeight="1">
      <c r="A8" s="27"/>
      <c r="B8" s="28">
        <v>3.0</v>
      </c>
      <c r="C8" s="36" t="s">
        <v>396</v>
      </c>
      <c r="D8" s="30" t="s">
        <v>110</v>
      </c>
      <c r="E8" s="37"/>
      <c r="F8" s="32"/>
      <c r="G8" s="33"/>
      <c r="H8" s="34"/>
      <c r="I8" s="35"/>
      <c r="J8" s="27"/>
      <c r="K8" s="27"/>
      <c r="L8" s="27"/>
      <c r="M8" s="27"/>
      <c r="N8" s="27"/>
      <c r="O8" s="27"/>
      <c r="P8" s="27"/>
      <c r="Q8" s="27"/>
      <c r="R8" s="27"/>
      <c r="S8" s="27"/>
      <c r="T8" s="27"/>
      <c r="U8" s="27"/>
      <c r="V8" s="27"/>
      <c r="W8" s="27"/>
      <c r="X8" s="27"/>
      <c r="Y8" s="27"/>
      <c r="Z8" s="27"/>
    </row>
    <row r="9" ht="13.5" customHeight="1">
      <c r="A9" s="27"/>
      <c r="B9" s="28">
        <v>4.0</v>
      </c>
      <c r="C9" s="36" t="s">
        <v>397</v>
      </c>
      <c r="D9" s="30" t="s">
        <v>110</v>
      </c>
      <c r="E9" s="37"/>
      <c r="F9" s="32"/>
      <c r="G9" s="33"/>
      <c r="H9" s="34"/>
      <c r="I9" s="35"/>
      <c r="J9" s="27"/>
      <c r="K9" s="27"/>
      <c r="L9" s="27"/>
      <c r="M9" s="27"/>
      <c r="N9" s="27"/>
      <c r="O9" s="27"/>
      <c r="P9" s="27"/>
      <c r="Q9" s="27"/>
      <c r="R9" s="27"/>
      <c r="S9" s="27"/>
      <c r="T9" s="27"/>
      <c r="U9" s="27"/>
      <c r="V9" s="27"/>
      <c r="W9" s="27"/>
      <c r="X9" s="27"/>
      <c r="Y9" s="27"/>
      <c r="Z9" s="27"/>
    </row>
    <row r="10" ht="13.5" customHeight="1">
      <c r="A10" s="27"/>
      <c r="B10" s="28">
        <v>5.0</v>
      </c>
      <c r="C10" s="36" t="s">
        <v>398</v>
      </c>
      <c r="D10" s="30" t="s">
        <v>81</v>
      </c>
      <c r="E10" s="37"/>
      <c r="F10" s="32"/>
      <c r="G10" s="33"/>
      <c r="H10" s="34"/>
      <c r="I10" s="35"/>
      <c r="J10" s="27"/>
      <c r="K10" s="27"/>
      <c r="L10" s="27"/>
      <c r="M10" s="27"/>
      <c r="N10" s="27"/>
      <c r="O10" s="27"/>
      <c r="P10" s="27"/>
      <c r="Q10" s="27"/>
      <c r="R10" s="27"/>
      <c r="S10" s="27"/>
      <c r="T10" s="27"/>
      <c r="U10" s="27"/>
      <c r="V10" s="27"/>
      <c r="W10" s="27"/>
      <c r="X10" s="27"/>
      <c r="Y10" s="27"/>
      <c r="Z10" s="27"/>
    </row>
    <row r="11" ht="13.5" customHeight="1">
      <c r="A11" s="27"/>
      <c r="B11" s="28">
        <v>6.0</v>
      </c>
      <c r="C11" s="36" t="s">
        <v>399</v>
      </c>
      <c r="D11" s="30" t="s">
        <v>110</v>
      </c>
      <c r="E11" s="37"/>
      <c r="F11" s="32"/>
      <c r="G11" s="33"/>
      <c r="H11" s="34"/>
      <c r="I11" s="35"/>
      <c r="J11" s="27"/>
      <c r="K11" s="27"/>
      <c r="L11" s="27"/>
      <c r="M11" s="27"/>
      <c r="N11" s="27"/>
      <c r="O11" s="27"/>
      <c r="P11" s="27"/>
      <c r="Q11" s="27"/>
      <c r="R11" s="27"/>
      <c r="S11" s="27"/>
      <c r="T11" s="27"/>
      <c r="U11" s="27"/>
      <c r="V11" s="27"/>
      <c r="W11" s="27"/>
      <c r="X11" s="27"/>
      <c r="Y11" s="27"/>
      <c r="Z11" s="27"/>
    </row>
    <row r="12" ht="13.5" customHeight="1">
      <c r="A12" s="27"/>
      <c r="B12" s="28">
        <v>7.0</v>
      </c>
      <c r="C12" s="36" t="s">
        <v>400</v>
      </c>
      <c r="D12" s="30" t="s">
        <v>110</v>
      </c>
      <c r="E12" s="37"/>
      <c r="F12" s="32"/>
      <c r="G12" s="33"/>
      <c r="H12" s="34"/>
      <c r="I12" s="35"/>
      <c r="J12" s="27"/>
      <c r="K12" s="27"/>
      <c r="L12" s="27"/>
      <c r="M12" s="27"/>
      <c r="N12" s="27"/>
      <c r="O12" s="27"/>
      <c r="P12" s="27"/>
      <c r="Q12" s="27"/>
      <c r="R12" s="27"/>
      <c r="S12" s="27"/>
      <c r="T12" s="27"/>
      <c r="U12" s="27"/>
      <c r="V12" s="27"/>
      <c r="W12" s="27"/>
      <c r="X12" s="27"/>
      <c r="Y12" s="27"/>
      <c r="Z12" s="27"/>
    </row>
    <row r="13" ht="13.5" customHeight="1">
      <c r="A13" s="27"/>
      <c r="B13" s="28">
        <v>8.0</v>
      </c>
      <c r="C13" s="36" t="s">
        <v>401</v>
      </c>
      <c r="D13" s="30" t="s">
        <v>81</v>
      </c>
      <c r="E13" s="37"/>
      <c r="F13" s="32"/>
      <c r="G13" s="33"/>
      <c r="H13" s="34"/>
      <c r="I13" s="35"/>
      <c r="J13" s="27"/>
      <c r="K13" s="27"/>
      <c r="L13" s="27"/>
      <c r="M13" s="27"/>
      <c r="N13" s="27"/>
      <c r="O13" s="27"/>
      <c r="P13" s="27"/>
      <c r="Q13" s="27"/>
      <c r="R13" s="27"/>
      <c r="S13" s="27"/>
      <c r="T13" s="27"/>
      <c r="U13" s="27"/>
      <c r="V13" s="27"/>
      <c r="W13" s="27"/>
      <c r="X13" s="27"/>
      <c r="Y13" s="27"/>
      <c r="Z13" s="27"/>
    </row>
    <row r="14" ht="13.5" customHeight="1">
      <c r="A14" s="27"/>
      <c r="B14" s="28">
        <v>9.0</v>
      </c>
      <c r="C14" s="36" t="s">
        <v>402</v>
      </c>
      <c r="D14" s="30" t="s">
        <v>116</v>
      </c>
      <c r="E14" s="37"/>
      <c r="F14" s="32"/>
      <c r="G14" s="33"/>
      <c r="H14" s="34"/>
      <c r="I14" s="35"/>
      <c r="J14" s="27"/>
      <c r="K14" s="27"/>
      <c r="L14" s="27"/>
      <c r="M14" s="27"/>
      <c r="N14" s="27"/>
      <c r="O14" s="27"/>
      <c r="P14" s="27"/>
      <c r="Q14" s="27"/>
      <c r="R14" s="27"/>
      <c r="S14" s="27"/>
      <c r="T14" s="27"/>
      <c r="U14" s="27"/>
      <c r="V14" s="27"/>
      <c r="W14" s="27"/>
      <c r="X14" s="27"/>
      <c r="Y14" s="27"/>
      <c r="Z14" s="27"/>
    </row>
    <row r="15" ht="13.5" customHeight="1">
      <c r="A15" s="27"/>
      <c r="B15" s="28">
        <v>10.0</v>
      </c>
      <c r="C15" s="36" t="s">
        <v>403</v>
      </c>
      <c r="D15" s="30" t="s">
        <v>110</v>
      </c>
      <c r="E15" s="37"/>
      <c r="F15" s="32"/>
      <c r="G15" s="33"/>
      <c r="H15" s="34"/>
      <c r="I15" s="35"/>
      <c r="J15" s="27"/>
      <c r="K15" s="27"/>
      <c r="L15" s="27"/>
      <c r="M15" s="27"/>
      <c r="N15" s="27"/>
      <c r="O15" s="27"/>
      <c r="P15" s="27"/>
      <c r="Q15" s="27"/>
      <c r="R15" s="27"/>
      <c r="S15" s="27"/>
      <c r="T15" s="27"/>
      <c r="U15" s="27"/>
      <c r="V15" s="27"/>
      <c r="W15" s="27"/>
      <c r="X15" s="27"/>
      <c r="Y15" s="27"/>
      <c r="Z15" s="27"/>
    </row>
    <row r="16" ht="13.5" customHeight="1">
      <c r="A16" s="27"/>
      <c r="B16" s="28">
        <v>11.0</v>
      </c>
      <c r="C16" s="36" t="s">
        <v>404</v>
      </c>
      <c r="D16" s="30" t="s">
        <v>110</v>
      </c>
      <c r="E16" s="37"/>
      <c r="F16" s="32"/>
      <c r="G16" s="33"/>
      <c r="H16" s="34"/>
      <c r="I16" s="35"/>
      <c r="J16" s="27"/>
      <c r="K16" s="27"/>
      <c r="L16" s="27"/>
      <c r="M16" s="27"/>
      <c r="N16" s="27"/>
      <c r="O16" s="27"/>
      <c r="P16" s="27"/>
      <c r="Q16" s="27"/>
      <c r="R16" s="27"/>
      <c r="S16" s="27"/>
      <c r="T16" s="27"/>
      <c r="U16" s="27"/>
      <c r="V16" s="27"/>
      <c r="W16" s="27"/>
      <c r="X16" s="27"/>
      <c r="Y16" s="27"/>
      <c r="Z16" s="27"/>
    </row>
    <row r="17" ht="13.5" customHeight="1">
      <c r="A17" s="27"/>
      <c r="B17" s="28">
        <v>12.0</v>
      </c>
      <c r="C17" s="36" t="s">
        <v>405</v>
      </c>
      <c r="D17" s="30" t="s">
        <v>110</v>
      </c>
      <c r="E17" s="37"/>
      <c r="F17" s="32"/>
      <c r="G17" s="33"/>
      <c r="H17" s="34"/>
      <c r="I17" s="35"/>
      <c r="J17" s="27"/>
      <c r="K17" s="27"/>
      <c r="L17" s="27"/>
      <c r="M17" s="27"/>
      <c r="N17" s="27"/>
      <c r="O17" s="27"/>
      <c r="P17" s="27"/>
      <c r="Q17" s="27"/>
      <c r="R17" s="27"/>
      <c r="S17" s="27"/>
      <c r="T17" s="27"/>
      <c r="U17" s="27"/>
      <c r="V17" s="27"/>
      <c r="W17" s="27"/>
      <c r="X17" s="27"/>
      <c r="Y17" s="27"/>
      <c r="Z17" s="27"/>
    </row>
    <row r="18" ht="13.5" customHeight="1">
      <c r="A18" s="27"/>
      <c r="B18" s="28">
        <v>13.0</v>
      </c>
      <c r="C18" s="36" t="s">
        <v>406</v>
      </c>
      <c r="D18" s="30" t="s">
        <v>110</v>
      </c>
      <c r="E18" s="37"/>
      <c r="F18" s="32"/>
      <c r="G18" s="33"/>
      <c r="H18" s="34"/>
      <c r="I18" s="35"/>
      <c r="J18" s="27"/>
      <c r="K18" s="27"/>
      <c r="L18" s="27"/>
      <c r="M18" s="27"/>
      <c r="N18" s="27"/>
      <c r="O18" s="27"/>
      <c r="P18" s="27"/>
      <c r="Q18" s="27"/>
      <c r="R18" s="27"/>
      <c r="S18" s="27"/>
      <c r="T18" s="27"/>
      <c r="U18" s="27"/>
      <c r="V18" s="27"/>
      <c r="W18" s="27"/>
      <c r="X18" s="27"/>
      <c r="Y18" s="27"/>
      <c r="Z18" s="27"/>
    </row>
    <row r="19" ht="13.5" customHeight="1">
      <c r="A19" s="27"/>
      <c r="B19" s="28">
        <v>14.0</v>
      </c>
      <c r="C19" s="36" t="s">
        <v>407</v>
      </c>
      <c r="D19" s="30" t="s">
        <v>116</v>
      </c>
      <c r="E19" s="37"/>
      <c r="F19" s="32"/>
      <c r="G19" s="33"/>
      <c r="H19" s="34"/>
      <c r="I19" s="35"/>
      <c r="J19" s="27"/>
      <c r="K19" s="27"/>
      <c r="L19" s="27"/>
      <c r="M19" s="27"/>
      <c r="N19" s="27"/>
      <c r="O19" s="27"/>
      <c r="P19" s="27"/>
      <c r="Q19" s="27"/>
      <c r="R19" s="27"/>
      <c r="S19" s="27"/>
      <c r="T19" s="27"/>
      <c r="U19" s="27"/>
      <c r="V19" s="27"/>
      <c r="W19" s="27"/>
      <c r="X19" s="27"/>
      <c r="Y19" s="27"/>
      <c r="Z19" s="27"/>
    </row>
    <row r="20" ht="13.5" customHeight="1">
      <c r="A20" s="27"/>
      <c r="B20" s="28">
        <v>15.0</v>
      </c>
      <c r="C20" s="36"/>
      <c r="D20" s="30"/>
      <c r="E20" s="37"/>
      <c r="F20" s="32"/>
      <c r="G20" s="33"/>
      <c r="H20" s="34"/>
      <c r="I20" s="35"/>
      <c r="J20" s="27"/>
      <c r="K20" s="27"/>
      <c r="L20" s="27"/>
      <c r="M20" s="27"/>
      <c r="N20" s="27"/>
      <c r="O20" s="27"/>
      <c r="P20" s="27"/>
      <c r="Q20" s="27"/>
      <c r="R20" s="27"/>
      <c r="S20" s="27"/>
      <c r="T20" s="27"/>
      <c r="U20" s="27"/>
      <c r="V20" s="27"/>
      <c r="W20" s="27"/>
      <c r="X20" s="27"/>
      <c r="Y20" s="27"/>
      <c r="Z20" s="27"/>
    </row>
    <row r="21" ht="13.5" customHeight="1">
      <c r="A21" s="27"/>
      <c r="B21" s="28">
        <v>16.0</v>
      </c>
      <c r="C21" s="36"/>
      <c r="D21" s="30"/>
      <c r="E21" s="37"/>
      <c r="F21" s="32"/>
      <c r="G21" s="33"/>
      <c r="H21" s="34"/>
      <c r="I21" s="35"/>
      <c r="J21" s="27"/>
      <c r="K21" s="27"/>
      <c r="L21" s="27"/>
      <c r="M21" s="27"/>
      <c r="N21" s="27"/>
      <c r="O21" s="27"/>
      <c r="P21" s="27"/>
      <c r="Q21" s="27"/>
      <c r="R21" s="27"/>
      <c r="S21" s="27"/>
      <c r="T21" s="27"/>
      <c r="U21" s="27"/>
      <c r="V21" s="27"/>
      <c r="W21" s="27"/>
      <c r="X21" s="27"/>
      <c r="Y21" s="27"/>
      <c r="Z21" s="27"/>
    </row>
    <row r="22" ht="13.5" customHeight="1">
      <c r="A22" s="27"/>
      <c r="B22" s="28">
        <v>17.0</v>
      </c>
      <c r="C22" s="36"/>
      <c r="D22" s="30"/>
      <c r="E22" s="37"/>
      <c r="F22" s="32"/>
      <c r="G22" s="33"/>
      <c r="H22" s="34"/>
      <c r="I22" s="35"/>
      <c r="J22" s="27"/>
      <c r="K22" s="27"/>
      <c r="L22" s="27"/>
      <c r="M22" s="27"/>
      <c r="N22" s="27"/>
      <c r="O22" s="27"/>
      <c r="P22" s="27"/>
      <c r="Q22" s="27"/>
      <c r="R22" s="27"/>
      <c r="S22" s="27"/>
      <c r="T22" s="27"/>
      <c r="U22" s="27"/>
      <c r="V22" s="27"/>
      <c r="W22" s="27"/>
      <c r="X22" s="27"/>
      <c r="Y22" s="27"/>
      <c r="Z22" s="27"/>
    </row>
    <row r="23" ht="13.5" customHeight="1">
      <c r="A23" s="27"/>
      <c r="B23" s="28">
        <v>18.0</v>
      </c>
      <c r="C23" s="36"/>
      <c r="D23" s="30"/>
      <c r="E23" s="37"/>
      <c r="F23" s="32"/>
      <c r="G23" s="33"/>
      <c r="H23" s="34"/>
      <c r="I23" s="35"/>
      <c r="J23" s="27"/>
      <c r="K23" s="27"/>
      <c r="L23" s="27"/>
      <c r="M23" s="27"/>
      <c r="N23" s="27"/>
      <c r="O23" s="27"/>
      <c r="P23" s="27"/>
      <c r="Q23" s="27"/>
      <c r="R23" s="27"/>
      <c r="S23" s="27"/>
      <c r="T23" s="27"/>
      <c r="U23" s="27"/>
      <c r="V23" s="27"/>
      <c r="W23" s="27"/>
      <c r="X23" s="27"/>
      <c r="Y23" s="27"/>
      <c r="Z23" s="27"/>
    </row>
    <row r="24" ht="13.5" customHeight="1">
      <c r="A24" s="27"/>
      <c r="B24" s="28">
        <v>19.0</v>
      </c>
      <c r="C24" s="36"/>
      <c r="D24" s="30"/>
      <c r="E24" s="37"/>
      <c r="F24" s="32"/>
      <c r="G24" s="33"/>
      <c r="H24" s="34"/>
      <c r="I24" s="35"/>
      <c r="J24" s="27"/>
      <c r="K24" s="27"/>
      <c r="L24" s="27"/>
      <c r="M24" s="27"/>
      <c r="N24" s="27"/>
      <c r="O24" s="27"/>
      <c r="P24" s="27"/>
      <c r="Q24" s="27"/>
      <c r="R24" s="27"/>
      <c r="S24" s="27"/>
      <c r="T24" s="27"/>
      <c r="U24" s="27"/>
      <c r="V24" s="27"/>
      <c r="W24" s="27"/>
      <c r="X24" s="27"/>
      <c r="Y24" s="27"/>
      <c r="Z24" s="27"/>
    </row>
    <row r="25" ht="13.5" customHeight="1">
      <c r="A25" s="27"/>
      <c r="B25" s="28">
        <v>20.0</v>
      </c>
      <c r="C25" s="36"/>
      <c r="D25" s="30"/>
      <c r="E25" s="37"/>
      <c r="F25" s="32"/>
      <c r="G25" s="33"/>
      <c r="H25" s="34"/>
      <c r="I25" s="35"/>
      <c r="J25" s="27"/>
      <c r="K25" s="27"/>
      <c r="L25" s="27"/>
      <c r="M25" s="27"/>
      <c r="N25" s="27"/>
      <c r="O25" s="27"/>
      <c r="P25" s="27"/>
      <c r="Q25" s="27"/>
      <c r="R25" s="27"/>
      <c r="S25" s="27"/>
      <c r="T25" s="27"/>
      <c r="U25" s="27"/>
      <c r="V25" s="27"/>
      <c r="W25" s="27"/>
      <c r="X25" s="27"/>
      <c r="Y25" s="27"/>
      <c r="Z25" s="27"/>
    </row>
    <row r="26" ht="13.5" customHeight="1">
      <c r="A26" s="27"/>
      <c r="B26" s="28">
        <v>21.0</v>
      </c>
      <c r="C26" s="36"/>
      <c r="D26" s="30"/>
      <c r="E26" s="37"/>
      <c r="F26" s="32"/>
      <c r="G26" s="33"/>
      <c r="H26" s="34"/>
      <c r="I26" s="35"/>
      <c r="J26" s="27"/>
      <c r="K26" s="27"/>
      <c r="L26" s="27"/>
      <c r="M26" s="27"/>
      <c r="N26" s="27"/>
      <c r="O26" s="27"/>
      <c r="P26" s="27"/>
      <c r="Q26" s="27"/>
      <c r="R26" s="27"/>
      <c r="S26" s="27"/>
      <c r="T26" s="27"/>
      <c r="U26" s="27"/>
      <c r="V26" s="27"/>
      <c r="W26" s="27"/>
      <c r="X26" s="27"/>
      <c r="Y26" s="27"/>
      <c r="Z26" s="27"/>
    </row>
    <row r="27" ht="13.5" customHeight="1">
      <c r="A27" s="27"/>
      <c r="B27" s="28">
        <v>22.0</v>
      </c>
      <c r="C27" s="36"/>
      <c r="D27" s="30"/>
      <c r="E27" s="37"/>
      <c r="F27" s="32"/>
      <c r="G27" s="33"/>
      <c r="H27" s="34"/>
      <c r="I27" s="35"/>
      <c r="J27" s="27"/>
      <c r="K27" s="27"/>
      <c r="L27" s="27"/>
      <c r="M27" s="27"/>
      <c r="N27" s="27"/>
      <c r="O27" s="27"/>
      <c r="P27" s="27"/>
      <c r="Q27" s="27"/>
      <c r="R27" s="27"/>
      <c r="S27" s="27"/>
      <c r="T27" s="27"/>
      <c r="U27" s="27"/>
      <c r="V27" s="27"/>
      <c r="W27" s="27"/>
      <c r="X27" s="27"/>
      <c r="Y27" s="27"/>
      <c r="Z27" s="27"/>
    </row>
    <row r="28" ht="13.5" customHeight="1">
      <c r="A28" s="27"/>
      <c r="B28" s="28">
        <v>23.0</v>
      </c>
      <c r="C28" s="36"/>
      <c r="D28" s="30"/>
      <c r="E28" s="37"/>
      <c r="F28" s="32"/>
      <c r="G28" s="33"/>
      <c r="H28" s="34"/>
      <c r="I28" s="35"/>
      <c r="J28" s="27"/>
      <c r="K28" s="27"/>
      <c r="L28" s="27"/>
      <c r="M28" s="27"/>
      <c r="N28" s="27"/>
      <c r="O28" s="27"/>
      <c r="P28" s="27"/>
      <c r="Q28" s="27"/>
      <c r="R28" s="27"/>
      <c r="S28" s="27"/>
      <c r="T28" s="27"/>
      <c r="U28" s="27"/>
      <c r="V28" s="27"/>
      <c r="W28" s="27"/>
      <c r="X28" s="27"/>
      <c r="Y28" s="27"/>
      <c r="Z28" s="27"/>
    </row>
    <row r="29" ht="13.5" customHeight="1">
      <c r="A29" s="27"/>
      <c r="B29" s="28">
        <v>24.0</v>
      </c>
      <c r="C29" s="36"/>
      <c r="D29" s="30"/>
      <c r="E29" s="37"/>
      <c r="F29" s="32"/>
      <c r="G29" s="33"/>
      <c r="H29" s="34"/>
      <c r="I29" s="35"/>
      <c r="J29" s="27"/>
      <c r="K29" s="27"/>
      <c r="L29" s="27"/>
      <c r="M29" s="27"/>
      <c r="N29" s="27"/>
      <c r="O29" s="27"/>
      <c r="P29" s="27"/>
      <c r="Q29" s="27"/>
      <c r="R29" s="27"/>
      <c r="S29" s="27"/>
      <c r="T29" s="27"/>
      <c r="U29" s="27"/>
      <c r="V29" s="27"/>
      <c r="W29" s="27"/>
      <c r="X29" s="27"/>
      <c r="Y29" s="27"/>
      <c r="Z29" s="27"/>
    </row>
    <row r="30" ht="13.5" customHeight="1">
      <c r="A30" s="27"/>
      <c r="B30" s="28">
        <v>25.0</v>
      </c>
      <c r="C30" s="36"/>
      <c r="D30" s="30"/>
      <c r="E30" s="37"/>
      <c r="F30" s="32"/>
      <c r="G30" s="33"/>
      <c r="H30" s="34"/>
      <c r="I30" s="35"/>
      <c r="J30" s="27"/>
      <c r="K30" s="27"/>
      <c r="L30" s="27"/>
      <c r="M30" s="27"/>
      <c r="N30" s="27"/>
      <c r="O30" s="27"/>
      <c r="P30" s="27"/>
      <c r="Q30" s="27"/>
      <c r="R30" s="27"/>
      <c r="S30" s="27"/>
      <c r="T30" s="27"/>
      <c r="U30" s="27"/>
      <c r="V30" s="27"/>
      <c r="W30" s="27"/>
      <c r="X30" s="27"/>
      <c r="Y30" s="27"/>
      <c r="Z30" s="27"/>
    </row>
    <row r="31" ht="13.5" customHeight="1">
      <c r="A31" s="27"/>
      <c r="B31" s="28"/>
      <c r="C31" s="36"/>
      <c r="D31" s="30"/>
      <c r="E31" s="37"/>
      <c r="F31" s="32"/>
      <c r="G31" s="33"/>
      <c r="H31" s="34"/>
      <c r="I31" s="35"/>
      <c r="J31" s="27"/>
      <c r="K31" s="27"/>
      <c r="L31" s="27"/>
      <c r="M31" s="27"/>
      <c r="N31" s="27"/>
      <c r="O31" s="27"/>
      <c r="P31" s="27"/>
      <c r="Q31" s="27"/>
      <c r="R31" s="27"/>
      <c r="S31" s="27"/>
      <c r="T31" s="27"/>
      <c r="U31" s="27"/>
      <c r="V31" s="27"/>
      <c r="W31" s="27"/>
      <c r="X31" s="27"/>
      <c r="Y31" s="27"/>
      <c r="Z31" s="27"/>
    </row>
    <row r="32" ht="13.5" customHeight="1">
      <c r="A32" s="27"/>
      <c r="B32" s="28"/>
      <c r="C32" s="36"/>
      <c r="D32" s="30"/>
      <c r="E32" s="37"/>
      <c r="F32" s="32"/>
      <c r="G32" s="33"/>
      <c r="H32" s="34"/>
      <c r="I32" s="35"/>
      <c r="J32" s="27"/>
      <c r="K32" s="27"/>
      <c r="L32" s="27"/>
      <c r="M32" s="27"/>
      <c r="N32" s="27"/>
      <c r="O32" s="27"/>
      <c r="P32" s="27"/>
      <c r="Q32" s="27"/>
      <c r="R32" s="27"/>
      <c r="S32" s="27"/>
      <c r="T32" s="27"/>
      <c r="U32" s="27"/>
      <c r="V32" s="27"/>
      <c r="W32" s="27"/>
      <c r="X32" s="27"/>
      <c r="Y32" s="27"/>
      <c r="Z32" s="27"/>
    </row>
    <row r="33" ht="13.5" customHeight="1">
      <c r="A33" s="27"/>
      <c r="B33" s="28"/>
      <c r="C33" s="36"/>
      <c r="D33" s="30"/>
      <c r="E33" s="37"/>
      <c r="F33" s="32"/>
      <c r="G33" s="33"/>
      <c r="H33" s="34"/>
      <c r="I33" s="35"/>
      <c r="J33" s="27"/>
      <c r="K33" s="27"/>
      <c r="L33" s="27"/>
      <c r="M33" s="27"/>
      <c r="N33" s="27"/>
      <c r="O33" s="27"/>
      <c r="P33" s="27"/>
      <c r="Q33" s="27"/>
      <c r="R33" s="27"/>
      <c r="S33" s="27"/>
      <c r="T33" s="27"/>
      <c r="U33" s="27"/>
      <c r="V33" s="27"/>
      <c r="W33" s="27"/>
      <c r="X33" s="27"/>
      <c r="Y33" s="27"/>
      <c r="Z33" s="27"/>
    </row>
    <row r="34" ht="13.5" customHeight="1">
      <c r="A34" s="27"/>
      <c r="B34" s="28"/>
      <c r="C34" s="36"/>
      <c r="D34" s="30"/>
      <c r="E34" s="37"/>
      <c r="F34" s="32"/>
      <c r="G34" s="33"/>
      <c r="H34" s="34"/>
      <c r="I34" s="35"/>
      <c r="J34" s="27"/>
      <c r="K34" s="27"/>
      <c r="L34" s="27"/>
      <c r="M34" s="27"/>
      <c r="N34" s="27"/>
      <c r="O34" s="27"/>
      <c r="P34" s="27"/>
      <c r="Q34" s="27"/>
      <c r="R34" s="27"/>
      <c r="S34" s="27"/>
      <c r="T34" s="27"/>
      <c r="U34" s="27"/>
      <c r="V34" s="27"/>
      <c r="W34" s="27"/>
      <c r="X34" s="27"/>
      <c r="Y34" s="27"/>
      <c r="Z34" s="27"/>
    </row>
    <row r="35" ht="16.5" customHeight="1">
      <c r="A35" s="12"/>
      <c r="B35" s="43"/>
      <c r="C35" s="43"/>
      <c r="D35" s="43"/>
      <c r="E35" s="43"/>
      <c r="F35" s="43"/>
      <c r="G35" s="33"/>
      <c r="H35" s="34"/>
      <c r="I35" s="21"/>
      <c r="J35" s="12"/>
      <c r="K35" s="12"/>
      <c r="L35" s="12"/>
      <c r="M35" s="12"/>
      <c r="N35" s="12"/>
      <c r="O35" s="12"/>
      <c r="P35" s="12"/>
      <c r="Q35" s="12"/>
      <c r="R35" s="12"/>
      <c r="S35" s="12"/>
      <c r="T35" s="12"/>
      <c r="U35" s="12"/>
      <c r="V35" s="12"/>
      <c r="W35" s="12"/>
      <c r="X35" s="12"/>
      <c r="Y35" s="12"/>
      <c r="Z35" s="12"/>
    </row>
    <row r="36" ht="13.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3.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3.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3.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3.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3.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3.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3.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3.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3.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3.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3.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3.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3.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3.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3.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3.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3.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3.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3.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3.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3.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3.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3.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3.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3.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3.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3.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3.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3.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3.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3.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3.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3.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3.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3.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3.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3.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3.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3.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3.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3.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3.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3.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3.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3.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3.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3.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3.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3.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3.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3.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3.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3.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3.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3.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3.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3.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3.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3.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3.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3.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3.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3.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3.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3.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3.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3.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3.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3.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3.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3.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3.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3.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3.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3.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3.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3.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3.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3.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3.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3.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3.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3.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3.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3.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3.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3.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3.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3.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3.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3.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3.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3.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3.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3.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3.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3.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3.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3.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3.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3.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3.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3.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3.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3.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3.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3.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3.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3.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3.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3.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3.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3.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3.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3.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3.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3.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3.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3.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3.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3.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3.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3.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3.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3.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3.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3.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3.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3.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3.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3.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3.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3.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3.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3.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3.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3.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3.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3.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3.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3.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3.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3.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3.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3.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3.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3.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3.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3.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3.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3.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3.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3.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3.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3.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3.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3.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3.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3.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3.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3.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3.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3.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3.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3.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3.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3.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3.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3.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3.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3.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3.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3.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3.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3.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3.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3.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3.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3.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3.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3.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3.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3.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3.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3.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3.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3.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3.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3.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3.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3.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3.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3.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3.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3.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3.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3.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3.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3.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3.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3.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3.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3.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3.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3.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3.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3.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3.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3.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3.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3.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3.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3.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3.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3.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3.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3.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3.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3.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3.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3.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3.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3.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3.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3.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3.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3.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3.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3.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3.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3.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3.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3.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3.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3.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3.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3.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3.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3.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3.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3.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3.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3.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3.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3.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3.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3.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3.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3.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3.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3.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3.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3.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3.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3.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3.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3.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3.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3.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3.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3.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3.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3.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3.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3.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3.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3.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3.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3.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3.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3.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3.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3.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3.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3.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3.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3.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3.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3.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3.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3.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3.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3.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3.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3.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3.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3.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3.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3.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3.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3.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3.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3.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3.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3.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3.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3.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3.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3.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3.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3.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3.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3.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3.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3.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3.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3.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3.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3.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3.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3.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3.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3.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3.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3.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3.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3.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3.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3.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3.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3.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3.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3.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3.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3.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3.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3.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3.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3.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3.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3.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3.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3.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3.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3.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3.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3.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3.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3.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3.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3.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3.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3.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3.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3.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3.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3.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3.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3.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3.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3.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3.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3.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3.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3.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3.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3.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3.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3.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3.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3.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3.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3.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3.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3.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3.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3.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3.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3.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3.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3.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3.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3.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3.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3.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3.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3.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3.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3.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3.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3.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3.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3.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3.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3.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3.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3.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3.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3.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3.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3.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3.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3.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3.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3.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3.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3.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3.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3.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3.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3.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3.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3.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3.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3.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3.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3.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3.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3.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3.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3.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3.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3.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3.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3.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3.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3.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3.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3.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3.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3.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3.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3.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3.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3.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3.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3.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3.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3.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3.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3.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3.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3.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3.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3.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3.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3.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3.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3.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3.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3.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3.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3.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3.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3.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3.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3.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3.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3.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3.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3.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3.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3.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3.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3.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3.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3.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3.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3.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3.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3.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3.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3.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3.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3.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3.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3.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3.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3.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3.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3.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3.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3.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3.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3.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3.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3.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3.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3.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3.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3.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3.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3.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3.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3.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3.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3.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3.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3.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3.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3.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3.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3.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3.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3.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3.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3.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3.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3.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3.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3.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3.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3.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3.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3.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3.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3.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3.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3.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3.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3.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3.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3.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3.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3.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3.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3.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3.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3.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3.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3.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3.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3.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3.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3.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3.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3.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3.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3.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3.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3.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3.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3.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3.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3.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3.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3.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3.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3.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3.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3.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3.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3.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3.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3.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3.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3.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3.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3.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3.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3.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3.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3.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3.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3.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3.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3.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3.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3.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3.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3.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3.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3.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3.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3.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3.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3.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3.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3.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3.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3.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3.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3.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3.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3.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3.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3.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3.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3.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3.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3.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3.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3.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3.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3.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3.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3.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3.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3.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3.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3.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3.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3.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3.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3.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3.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3.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3.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3.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3.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3.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3.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3.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3.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3.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3.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3.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3.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3.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3.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3.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3.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3.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3.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3.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3.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3.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3.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3.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3.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3.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3.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3.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3.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3.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3.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3.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3.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3.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3.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3.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3.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3.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3.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3.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3.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3.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3.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3.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3.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3.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3.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3.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3.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3.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3.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3.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3.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3.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3.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3.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3.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3.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3.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3.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3.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3.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3.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3.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3.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3.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3.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3.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3.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3.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3.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3.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3.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3.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3.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3.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3.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3.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3.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3.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3.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3.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3.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3.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3.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3.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3.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3.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3.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3.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3.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3.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3.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3.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3.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3.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3.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3.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3.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3.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3.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3.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3.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3.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3.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3.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3.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3.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3.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3.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3.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3.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3.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3.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3.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3.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3.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3.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3.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3.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3.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3.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3.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3.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3.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3.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3.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3.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3.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3.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3.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3.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3.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3.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3.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3.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3.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3.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3.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3.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3.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3.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3.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3.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3.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3.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3.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3.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3.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3.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3.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3.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3.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3.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3.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3.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3.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3.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3.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3.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3.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3.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3.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3.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3.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3.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3.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3.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3.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3.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3.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3.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3.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3.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3.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3.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3.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3.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3.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3.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3.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3.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3.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3.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3.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3.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3.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3.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3.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3.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3.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3.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3.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3.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3.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3.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3.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3.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3.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3.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3.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3.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3.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3.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3.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3.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3.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3.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3.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3.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3.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3.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3.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3.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3.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3.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3.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3.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3.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3.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3.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3.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3.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3.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3.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3.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3.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3.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3.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3.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3.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3.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3.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3.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3.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3.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3.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3.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3.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3.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3.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3.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3.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3.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3.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3.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3.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3.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3.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3.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3.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3.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3.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3.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3.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3.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3.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3.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3.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3.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3.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3.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3.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3.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3.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3.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3.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3.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3.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3.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3.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3.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3.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3.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3.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3.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3.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3.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3.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3.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3.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3.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3.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3.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3.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3.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3.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3.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3.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3.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3.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3.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3.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3.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3.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3.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3.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3.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3.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3.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3.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3.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3.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3.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3.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3.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3.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3.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3.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3.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3.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3.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3.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3.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3.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3.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3.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3.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3.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3.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3.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3.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3.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3.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3.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3.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3.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3.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3.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3.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3.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3.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3.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3.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3.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3.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3.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3.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3.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3.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3.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3.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3.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3.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3.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3.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3.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3.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3.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3.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3.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3.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3.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3.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3.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3.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3.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3.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3.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3.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3.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3.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3.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3.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3.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3.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3.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3.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3.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6">
    <mergeCell ref="B2:F2"/>
    <mergeCell ref="B4:C5"/>
    <mergeCell ref="D4:D5"/>
    <mergeCell ref="E4:E5"/>
    <mergeCell ref="F4:F5"/>
    <mergeCell ref="G4:H4"/>
  </mergeCells>
  <dataValidations>
    <dataValidation type="list" allowBlank="1" showErrorMessage="1" sqref="E6:E34">
      <formula1>List_1</formula1>
    </dataValidation>
    <dataValidation type="list" allowBlank="1" showErrorMessage="1" sqref="D6:D34">
      <formula1>List_2</formula1>
    </dataValidation>
  </dataValidation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showGridLines="0" workbookViewId="0"/>
  </sheetViews>
  <sheetFormatPr customHeight="1" defaultColWidth="14.43" defaultRowHeight="15.0"/>
  <cols>
    <col customWidth="1" min="1" max="1" width="2.86"/>
    <col customWidth="1" min="2" max="2" width="7.43"/>
    <col customWidth="1" min="3" max="3" width="60.71"/>
    <col customWidth="1" min="4" max="4" width="18.86"/>
    <col customWidth="1" min="5" max="5" width="19.86"/>
    <col customWidth="1" min="6" max="6" width="41.43"/>
    <col customWidth="1" min="7" max="8" width="24.71"/>
    <col customWidth="1" min="9" max="26" width="9.14"/>
  </cols>
  <sheetData>
    <row r="1" ht="13.5"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ht="33.75" customHeight="1">
      <c r="A2" s="12"/>
      <c r="B2" s="13" t="s">
        <v>408</v>
      </c>
      <c r="C2" s="14"/>
      <c r="D2" s="14"/>
      <c r="E2" s="14"/>
      <c r="F2" s="5"/>
      <c r="G2" s="12"/>
      <c r="H2" s="12"/>
      <c r="I2" s="12"/>
      <c r="J2" s="12"/>
      <c r="K2" s="12"/>
      <c r="L2" s="12"/>
      <c r="M2" s="12"/>
      <c r="N2" s="12"/>
      <c r="O2" s="12"/>
      <c r="P2" s="12"/>
      <c r="Q2" s="12"/>
      <c r="R2" s="12"/>
      <c r="S2" s="12"/>
      <c r="T2" s="12"/>
      <c r="U2" s="12"/>
      <c r="V2" s="12"/>
      <c r="W2" s="12"/>
      <c r="X2" s="12"/>
      <c r="Y2" s="12"/>
      <c r="Z2" s="12"/>
    </row>
    <row r="3" ht="13.5" customHeight="1">
      <c r="A3" s="12"/>
      <c r="B3" s="12"/>
      <c r="C3" s="12"/>
      <c r="D3" s="12"/>
      <c r="E3" s="12"/>
      <c r="F3" s="12"/>
      <c r="G3" s="12"/>
      <c r="H3" s="12"/>
      <c r="I3" s="12"/>
      <c r="J3" s="12"/>
      <c r="K3" s="12"/>
      <c r="L3" s="12"/>
      <c r="M3" s="12"/>
      <c r="N3" s="12"/>
      <c r="O3" s="12"/>
      <c r="P3" s="12"/>
      <c r="Q3" s="12"/>
      <c r="R3" s="12"/>
      <c r="S3" s="12"/>
      <c r="T3" s="12"/>
      <c r="U3" s="12"/>
      <c r="V3" s="12"/>
      <c r="W3" s="12"/>
      <c r="X3" s="12"/>
      <c r="Y3" s="12"/>
      <c r="Z3" s="12"/>
    </row>
    <row r="4" ht="25.5" customHeight="1">
      <c r="A4" s="12"/>
      <c r="B4" s="16" t="s">
        <v>408</v>
      </c>
      <c r="C4" s="17"/>
      <c r="D4" s="18" t="s">
        <v>409</v>
      </c>
      <c r="E4" s="18" t="s">
        <v>410</v>
      </c>
      <c r="F4" s="18" t="s">
        <v>79</v>
      </c>
      <c r="G4" s="19"/>
      <c r="H4" s="20"/>
      <c r="I4" s="21"/>
      <c r="J4" s="12"/>
      <c r="K4" s="12"/>
      <c r="L4" s="12"/>
      <c r="M4" s="12"/>
      <c r="N4" s="12"/>
      <c r="O4" s="12"/>
      <c r="P4" s="12"/>
      <c r="Q4" s="12"/>
      <c r="R4" s="12"/>
      <c r="S4" s="12"/>
      <c r="T4" s="12"/>
      <c r="U4" s="12"/>
      <c r="V4" s="12"/>
      <c r="W4" s="12"/>
      <c r="X4" s="12"/>
      <c r="Y4" s="12"/>
      <c r="Z4" s="12"/>
    </row>
    <row r="5" ht="63.0" customHeight="1">
      <c r="A5" s="12"/>
      <c r="B5" s="22"/>
      <c r="C5" s="23"/>
      <c r="D5" s="24"/>
      <c r="E5" s="24"/>
      <c r="F5" s="24"/>
      <c r="G5" s="25"/>
      <c r="H5" s="26"/>
      <c r="I5" s="21"/>
      <c r="J5" s="12"/>
      <c r="K5" s="12"/>
      <c r="L5" s="12"/>
      <c r="M5" s="12"/>
      <c r="N5" s="12"/>
      <c r="O5" s="12"/>
      <c r="P5" s="12"/>
      <c r="Q5" s="12"/>
      <c r="R5" s="12"/>
      <c r="S5" s="12"/>
      <c r="T5" s="12"/>
      <c r="U5" s="12"/>
      <c r="V5" s="12"/>
      <c r="W5" s="12"/>
      <c r="X5" s="12"/>
      <c r="Y5" s="12"/>
      <c r="Z5" s="12"/>
    </row>
    <row r="6" ht="13.5" customHeight="1">
      <c r="A6" s="27"/>
      <c r="B6" s="28">
        <v>1.0</v>
      </c>
      <c r="C6" s="36" t="s">
        <v>411</v>
      </c>
      <c r="D6" s="30" t="s">
        <v>116</v>
      </c>
      <c r="E6" s="37"/>
      <c r="F6" s="32"/>
      <c r="G6" s="33"/>
      <c r="H6" s="34"/>
      <c r="I6" s="35"/>
      <c r="J6" s="27"/>
      <c r="K6" s="27"/>
      <c r="L6" s="27"/>
      <c r="M6" s="27"/>
      <c r="N6" s="27"/>
      <c r="O6" s="27"/>
      <c r="P6" s="27"/>
      <c r="Q6" s="27"/>
      <c r="R6" s="27"/>
      <c r="S6" s="27"/>
      <c r="T6" s="27"/>
      <c r="U6" s="27"/>
      <c r="V6" s="27"/>
      <c r="W6" s="27"/>
      <c r="X6" s="27"/>
      <c r="Y6" s="27"/>
      <c r="Z6" s="27"/>
    </row>
    <row r="7" ht="13.5" customHeight="1">
      <c r="A7" s="27"/>
      <c r="B7" s="28">
        <v>2.0</v>
      </c>
      <c r="C7" s="36" t="s">
        <v>412</v>
      </c>
      <c r="D7" s="30" t="s">
        <v>81</v>
      </c>
      <c r="E7" s="37"/>
      <c r="F7" s="32"/>
      <c r="G7" s="33"/>
      <c r="H7" s="34"/>
      <c r="I7" s="35"/>
      <c r="J7" s="27"/>
      <c r="K7" s="27"/>
      <c r="L7" s="27"/>
      <c r="M7" s="27"/>
      <c r="N7" s="27"/>
      <c r="O7" s="27"/>
      <c r="P7" s="27"/>
      <c r="Q7" s="27"/>
      <c r="R7" s="27"/>
      <c r="S7" s="27"/>
      <c r="T7" s="27"/>
      <c r="U7" s="27"/>
      <c r="V7" s="27"/>
      <c r="W7" s="27"/>
      <c r="X7" s="27"/>
      <c r="Y7" s="27"/>
      <c r="Z7" s="27"/>
    </row>
    <row r="8" ht="13.5" customHeight="1">
      <c r="A8" s="27"/>
      <c r="B8" s="28">
        <v>3.0</v>
      </c>
      <c r="C8" s="36" t="s">
        <v>413</v>
      </c>
      <c r="D8" s="30" t="s">
        <v>81</v>
      </c>
      <c r="E8" s="37"/>
      <c r="F8" s="32"/>
      <c r="G8" s="33"/>
      <c r="H8" s="34"/>
      <c r="I8" s="35"/>
      <c r="J8" s="27"/>
      <c r="K8" s="27"/>
      <c r="L8" s="27"/>
      <c r="M8" s="27"/>
      <c r="N8" s="27"/>
      <c r="O8" s="27"/>
      <c r="P8" s="27"/>
      <c r="Q8" s="27"/>
      <c r="R8" s="27"/>
      <c r="S8" s="27"/>
      <c r="T8" s="27"/>
      <c r="U8" s="27"/>
      <c r="V8" s="27"/>
      <c r="W8" s="27"/>
      <c r="X8" s="27"/>
      <c r="Y8" s="27"/>
      <c r="Z8" s="27"/>
    </row>
    <row r="9" ht="13.5" customHeight="1">
      <c r="A9" s="27"/>
      <c r="B9" s="28">
        <v>4.0</v>
      </c>
      <c r="C9" s="36" t="s">
        <v>414</v>
      </c>
      <c r="D9" s="30" t="s">
        <v>116</v>
      </c>
      <c r="E9" s="37"/>
      <c r="F9" s="32"/>
      <c r="G9" s="33"/>
      <c r="H9" s="34"/>
      <c r="I9" s="35"/>
      <c r="J9" s="27"/>
      <c r="K9" s="27"/>
      <c r="L9" s="27"/>
      <c r="M9" s="27"/>
      <c r="N9" s="27"/>
      <c r="O9" s="27"/>
      <c r="P9" s="27"/>
      <c r="Q9" s="27"/>
      <c r="R9" s="27"/>
      <c r="S9" s="27"/>
      <c r="T9" s="27"/>
      <c r="U9" s="27"/>
      <c r="V9" s="27"/>
      <c r="W9" s="27"/>
      <c r="X9" s="27"/>
      <c r="Y9" s="27"/>
      <c r="Z9" s="27"/>
    </row>
    <row r="10" ht="13.5" customHeight="1">
      <c r="A10" s="27"/>
      <c r="B10" s="28">
        <v>5.0</v>
      </c>
      <c r="C10" s="36" t="s">
        <v>415</v>
      </c>
      <c r="D10" s="30" t="s">
        <v>116</v>
      </c>
      <c r="E10" s="37"/>
      <c r="F10" s="32"/>
      <c r="G10" s="33"/>
      <c r="H10" s="34"/>
      <c r="I10" s="35"/>
      <c r="J10" s="27"/>
      <c r="K10" s="27"/>
      <c r="L10" s="27"/>
      <c r="M10" s="27"/>
      <c r="N10" s="27"/>
      <c r="O10" s="27"/>
      <c r="P10" s="27"/>
      <c r="Q10" s="27"/>
      <c r="R10" s="27"/>
      <c r="S10" s="27"/>
      <c r="T10" s="27"/>
      <c r="U10" s="27"/>
      <c r="V10" s="27"/>
      <c r="W10" s="27"/>
      <c r="X10" s="27"/>
      <c r="Y10" s="27"/>
      <c r="Z10" s="27"/>
    </row>
    <row r="11" ht="13.5" customHeight="1">
      <c r="A11" s="27"/>
      <c r="B11" s="28">
        <v>6.0</v>
      </c>
      <c r="C11" s="36" t="s">
        <v>416</v>
      </c>
      <c r="D11" s="30" t="s">
        <v>116</v>
      </c>
      <c r="E11" s="37"/>
      <c r="F11" s="32"/>
      <c r="G11" s="33"/>
      <c r="H11" s="34"/>
      <c r="I11" s="35"/>
      <c r="J11" s="27"/>
      <c r="K11" s="27"/>
      <c r="L11" s="27"/>
      <c r="M11" s="27"/>
      <c r="N11" s="27"/>
      <c r="O11" s="27"/>
      <c r="P11" s="27"/>
      <c r="Q11" s="27"/>
      <c r="R11" s="27"/>
      <c r="S11" s="27"/>
      <c r="T11" s="27"/>
      <c r="U11" s="27"/>
      <c r="V11" s="27"/>
      <c r="W11" s="27"/>
      <c r="X11" s="27"/>
      <c r="Y11" s="27"/>
      <c r="Z11" s="27"/>
    </row>
    <row r="12" ht="13.5" customHeight="1">
      <c r="A12" s="27"/>
      <c r="B12" s="28">
        <v>7.0</v>
      </c>
      <c r="C12" s="36" t="s">
        <v>417</v>
      </c>
      <c r="D12" s="30" t="s">
        <v>116</v>
      </c>
      <c r="E12" s="37"/>
      <c r="F12" s="32"/>
      <c r="G12" s="33"/>
      <c r="H12" s="34"/>
      <c r="I12" s="35"/>
      <c r="J12" s="27"/>
      <c r="K12" s="27"/>
      <c r="L12" s="27"/>
      <c r="M12" s="27"/>
      <c r="N12" s="27"/>
      <c r="O12" s="27"/>
      <c r="P12" s="27"/>
      <c r="Q12" s="27"/>
      <c r="R12" s="27"/>
      <c r="S12" s="27"/>
      <c r="T12" s="27"/>
      <c r="U12" s="27"/>
      <c r="V12" s="27"/>
      <c r="W12" s="27"/>
      <c r="X12" s="27"/>
      <c r="Y12" s="27"/>
      <c r="Z12" s="27"/>
    </row>
    <row r="13" ht="13.5" customHeight="1">
      <c r="A13" s="27"/>
      <c r="B13" s="28">
        <v>8.0</v>
      </c>
      <c r="C13" s="36" t="s">
        <v>418</v>
      </c>
      <c r="D13" s="30" t="s">
        <v>116</v>
      </c>
      <c r="E13" s="37"/>
      <c r="F13" s="32"/>
      <c r="G13" s="33"/>
      <c r="H13" s="34"/>
      <c r="I13" s="35"/>
      <c r="J13" s="27"/>
      <c r="K13" s="27"/>
      <c r="L13" s="27"/>
      <c r="M13" s="27"/>
      <c r="N13" s="27"/>
      <c r="O13" s="27"/>
      <c r="P13" s="27"/>
      <c r="Q13" s="27"/>
      <c r="R13" s="27"/>
      <c r="S13" s="27"/>
      <c r="T13" s="27"/>
      <c r="U13" s="27"/>
      <c r="V13" s="27"/>
      <c r="W13" s="27"/>
      <c r="X13" s="27"/>
      <c r="Y13" s="27"/>
      <c r="Z13" s="27"/>
    </row>
    <row r="14" ht="13.5" customHeight="1">
      <c r="A14" s="27"/>
      <c r="B14" s="28">
        <v>9.0</v>
      </c>
      <c r="C14" s="36" t="s">
        <v>419</v>
      </c>
      <c r="D14" s="30" t="s">
        <v>116</v>
      </c>
      <c r="E14" s="37"/>
      <c r="F14" s="32" t="s">
        <v>420</v>
      </c>
      <c r="G14" s="33"/>
      <c r="H14" s="34"/>
      <c r="I14" s="35"/>
      <c r="J14" s="27"/>
      <c r="K14" s="27"/>
      <c r="L14" s="27"/>
      <c r="M14" s="27"/>
      <c r="N14" s="27"/>
      <c r="O14" s="27"/>
      <c r="P14" s="27"/>
      <c r="Q14" s="27"/>
      <c r="R14" s="27"/>
      <c r="S14" s="27"/>
      <c r="T14" s="27"/>
      <c r="U14" s="27"/>
      <c r="V14" s="27"/>
      <c r="W14" s="27"/>
      <c r="X14" s="27"/>
      <c r="Y14" s="27"/>
      <c r="Z14" s="27"/>
    </row>
    <row r="15" ht="13.5" customHeight="1">
      <c r="A15" s="27"/>
      <c r="B15" s="28">
        <v>10.0</v>
      </c>
      <c r="C15" s="36" t="s">
        <v>421</v>
      </c>
      <c r="D15" s="30" t="s">
        <v>116</v>
      </c>
      <c r="E15" s="37"/>
      <c r="F15" s="32"/>
      <c r="G15" s="33"/>
      <c r="H15" s="34"/>
      <c r="I15" s="35"/>
      <c r="J15" s="27"/>
      <c r="K15" s="27"/>
      <c r="L15" s="27"/>
      <c r="M15" s="27"/>
      <c r="N15" s="27"/>
      <c r="O15" s="27"/>
      <c r="P15" s="27"/>
      <c r="Q15" s="27"/>
      <c r="R15" s="27"/>
      <c r="S15" s="27"/>
      <c r="T15" s="27"/>
      <c r="U15" s="27"/>
      <c r="V15" s="27"/>
      <c r="W15" s="27"/>
      <c r="X15" s="27"/>
      <c r="Y15" s="27"/>
      <c r="Z15" s="27"/>
    </row>
    <row r="16" ht="13.5" customHeight="1">
      <c r="A16" s="27"/>
      <c r="B16" s="28">
        <v>11.0</v>
      </c>
      <c r="C16" s="36" t="s">
        <v>422</v>
      </c>
      <c r="D16" s="30" t="s">
        <v>110</v>
      </c>
      <c r="E16" s="37"/>
      <c r="F16" s="32"/>
      <c r="G16" s="33"/>
      <c r="H16" s="34"/>
      <c r="I16" s="35"/>
      <c r="J16" s="27"/>
      <c r="K16" s="27"/>
      <c r="L16" s="27"/>
      <c r="M16" s="27"/>
      <c r="N16" s="27"/>
      <c r="O16" s="27"/>
      <c r="P16" s="27"/>
      <c r="Q16" s="27"/>
      <c r="R16" s="27"/>
      <c r="S16" s="27"/>
      <c r="T16" s="27"/>
      <c r="U16" s="27"/>
      <c r="V16" s="27"/>
      <c r="W16" s="27"/>
      <c r="X16" s="27"/>
      <c r="Y16" s="27"/>
      <c r="Z16" s="27"/>
    </row>
    <row r="17" ht="13.5" customHeight="1">
      <c r="A17" s="27"/>
      <c r="B17" s="28">
        <v>12.0</v>
      </c>
      <c r="C17" s="36" t="s">
        <v>423</v>
      </c>
      <c r="D17" s="30" t="s">
        <v>110</v>
      </c>
      <c r="E17" s="37"/>
      <c r="F17" s="32"/>
      <c r="G17" s="33"/>
      <c r="H17" s="34"/>
      <c r="I17" s="35"/>
      <c r="J17" s="27"/>
      <c r="K17" s="27"/>
      <c r="L17" s="27"/>
      <c r="M17" s="27"/>
      <c r="N17" s="27"/>
      <c r="O17" s="27"/>
      <c r="P17" s="27"/>
      <c r="Q17" s="27"/>
      <c r="R17" s="27"/>
      <c r="S17" s="27"/>
      <c r="T17" s="27"/>
      <c r="U17" s="27"/>
      <c r="V17" s="27"/>
      <c r="W17" s="27"/>
      <c r="X17" s="27"/>
      <c r="Y17" s="27"/>
      <c r="Z17" s="27"/>
    </row>
    <row r="18" ht="13.5" customHeight="1">
      <c r="A18" s="27"/>
      <c r="B18" s="28">
        <v>13.0</v>
      </c>
      <c r="C18" s="36" t="s">
        <v>424</v>
      </c>
      <c r="D18" s="30" t="s">
        <v>81</v>
      </c>
      <c r="E18" s="37"/>
      <c r="F18" s="32"/>
      <c r="G18" s="33"/>
      <c r="H18" s="34"/>
      <c r="I18" s="35"/>
      <c r="J18" s="27"/>
      <c r="K18" s="27"/>
      <c r="L18" s="27"/>
      <c r="M18" s="27"/>
      <c r="N18" s="27"/>
      <c r="O18" s="27"/>
      <c r="P18" s="27"/>
      <c r="Q18" s="27"/>
      <c r="R18" s="27"/>
      <c r="S18" s="27"/>
      <c r="T18" s="27"/>
      <c r="U18" s="27"/>
      <c r="V18" s="27"/>
      <c r="W18" s="27"/>
      <c r="X18" s="27"/>
      <c r="Y18" s="27"/>
      <c r="Z18" s="27"/>
    </row>
    <row r="19" ht="13.5" customHeight="1">
      <c r="A19" s="27"/>
      <c r="B19" s="28">
        <v>14.0</v>
      </c>
      <c r="C19" s="36" t="s">
        <v>425</v>
      </c>
      <c r="D19" s="30" t="s">
        <v>110</v>
      </c>
      <c r="E19" s="37"/>
      <c r="F19" s="32"/>
      <c r="G19" s="33"/>
      <c r="H19" s="34"/>
      <c r="I19" s="35"/>
      <c r="J19" s="27"/>
      <c r="K19" s="27"/>
      <c r="L19" s="27"/>
      <c r="M19" s="27"/>
      <c r="N19" s="27"/>
      <c r="O19" s="27"/>
      <c r="P19" s="27"/>
      <c r="Q19" s="27"/>
      <c r="R19" s="27"/>
      <c r="S19" s="27"/>
      <c r="T19" s="27"/>
      <c r="U19" s="27"/>
      <c r="V19" s="27"/>
      <c r="W19" s="27"/>
      <c r="X19" s="27"/>
      <c r="Y19" s="27"/>
      <c r="Z19" s="27"/>
    </row>
    <row r="20" ht="13.5" customHeight="1">
      <c r="A20" s="27"/>
      <c r="B20" s="28">
        <v>15.0</v>
      </c>
      <c r="C20" s="36" t="s">
        <v>426</v>
      </c>
      <c r="D20" s="30" t="s">
        <v>81</v>
      </c>
      <c r="E20" s="37"/>
      <c r="F20" s="32"/>
      <c r="G20" s="33"/>
      <c r="H20" s="34"/>
      <c r="I20" s="35"/>
      <c r="J20" s="27"/>
      <c r="K20" s="27"/>
      <c r="L20" s="27"/>
      <c r="M20" s="27"/>
      <c r="N20" s="27"/>
      <c r="O20" s="27"/>
      <c r="P20" s="27"/>
      <c r="Q20" s="27"/>
      <c r="R20" s="27"/>
      <c r="S20" s="27"/>
      <c r="T20" s="27"/>
      <c r="U20" s="27"/>
      <c r="V20" s="27"/>
      <c r="W20" s="27"/>
      <c r="X20" s="27"/>
      <c r="Y20" s="27"/>
      <c r="Z20" s="27"/>
    </row>
    <row r="21" ht="13.5" customHeight="1">
      <c r="A21" s="27"/>
      <c r="B21" s="28">
        <v>16.0</v>
      </c>
      <c r="C21" s="36"/>
      <c r="D21" s="30"/>
      <c r="E21" s="37"/>
      <c r="F21" s="32"/>
      <c r="G21" s="33"/>
      <c r="H21" s="34"/>
      <c r="I21" s="35"/>
      <c r="J21" s="27"/>
      <c r="K21" s="27"/>
      <c r="L21" s="27"/>
      <c r="M21" s="27"/>
      <c r="N21" s="27"/>
      <c r="O21" s="27"/>
      <c r="P21" s="27"/>
      <c r="Q21" s="27"/>
      <c r="R21" s="27"/>
      <c r="S21" s="27"/>
      <c r="T21" s="27"/>
      <c r="U21" s="27"/>
      <c r="V21" s="27"/>
      <c r="W21" s="27"/>
      <c r="X21" s="27"/>
      <c r="Y21" s="27"/>
      <c r="Z21" s="27"/>
    </row>
    <row r="22" ht="13.5" customHeight="1">
      <c r="A22" s="27"/>
      <c r="B22" s="28">
        <v>17.0</v>
      </c>
      <c r="C22" s="36"/>
      <c r="D22" s="30"/>
      <c r="E22" s="37"/>
      <c r="F22" s="32"/>
      <c r="G22" s="33"/>
      <c r="H22" s="34"/>
      <c r="I22" s="35"/>
      <c r="J22" s="27"/>
      <c r="K22" s="27"/>
      <c r="L22" s="27"/>
      <c r="M22" s="27"/>
      <c r="N22" s="27"/>
      <c r="O22" s="27"/>
      <c r="P22" s="27"/>
      <c r="Q22" s="27"/>
      <c r="R22" s="27"/>
      <c r="S22" s="27"/>
      <c r="T22" s="27"/>
      <c r="U22" s="27"/>
      <c r="V22" s="27"/>
      <c r="W22" s="27"/>
      <c r="X22" s="27"/>
      <c r="Y22" s="27"/>
      <c r="Z22" s="27"/>
    </row>
    <row r="23" ht="13.5" customHeight="1">
      <c r="A23" s="27"/>
      <c r="B23" s="28">
        <v>18.0</v>
      </c>
      <c r="C23" s="36"/>
      <c r="D23" s="30"/>
      <c r="E23" s="37"/>
      <c r="F23" s="32"/>
      <c r="G23" s="33"/>
      <c r="H23" s="34"/>
      <c r="I23" s="35"/>
      <c r="J23" s="27"/>
      <c r="K23" s="27"/>
      <c r="L23" s="27"/>
      <c r="M23" s="27"/>
      <c r="N23" s="27"/>
      <c r="O23" s="27"/>
      <c r="P23" s="27"/>
      <c r="Q23" s="27"/>
      <c r="R23" s="27"/>
      <c r="S23" s="27"/>
      <c r="T23" s="27"/>
      <c r="U23" s="27"/>
      <c r="V23" s="27"/>
      <c r="W23" s="27"/>
      <c r="X23" s="27"/>
      <c r="Y23" s="27"/>
      <c r="Z23" s="27"/>
    </row>
    <row r="24" ht="13.5" customHeight="1">
      <c r="A24" s="27"/>
      <c r="B24" s="28">
        <v>19.0</v>
      </c>
      <c r="C24" s="36"/>
      <c r="D24" s="30"/>
      <c r="E24" s="37"/>
      <c r="F24" s="32"/>
      <c r="G24" s="33"/>
      <c r="H24" s="34"/>
      <c r="I24" s="35"/>
      <c r="J24" s="27"/>
      <c r="K24" s="27"/>
      <c r="L24" s="27"/>
      <c r="M24" s="27"/>
      <c r="N24" s="27"/>
      <c r="O24" s="27"/>
      <c r="P24" s="27"/>
      <c r="Q24" s="27"/>
      <c r="R24" s="27"/>
      <c r="S24" s="27"/>
      <c r="T24" s="27"/>
      <c r="U24" s="27"/>
      <c r="V24" s="27"/>
      <c r="W24" s="27"/>
      <c r="X24" s="27"/>
      <c r="Y24" s="27"/>
      <c r="Z24" s="27"/>
    </row>
    <row r="25" ht="13.5" customHeight="1">
      <c r="A25" s="27"/>
      <c r="B25" s="28">
        <v>20.0</v>
      </c>
      <c r="C25" s="36"/>
      <c r="D25" s="30"/>
      <c r="E25" s="37"/>
      <c r="F25" s="32"/>
      <c r="G25" s="33"/>
      <c r="H25" s="34"/>
      <c r="I25" s="35"/>
      <c r="J25" s="27"/>
      <c r="K25" s="27"/>
      <c r="L25" s="27"/>
      <c r="M25" s="27"/>
      <c r="N25" s="27"/>
      <c r="O25" s="27"/>
      <c r="P25" s="27"/>
      <c r="Q25" s="27"/>
      <c r="R25" s="27"/>
      <c r="S25" s="27"/>
      <c r="T25" s="27"/>
      <c r="U25" s="27"/>
      <c r="V25" s="27"/>
      <c r="W25" s="27"/>
      <c r="X25" s="27"/>
      <c r="Y25" s="27"/>
      <c r="Z25" s="27"/>
    </row>
    <row r="26" ht="13.5" customHeight="1">
      <c r="A26" s="27"/>
      <c r="B26" s="28">
        <v>21.0</v>
      </c>
      <c r="C26" s="36"/>
      <c r="D26" s="30"/>
      <c r="E26" s="37"/>
      <c r="F26" s="32"/>
      <c r="G26" s="33"/>
      <c r="H26" s="34"/>
      <c r="I26" s="35"/>
      <c r="J26" s="27"/>
      <c r="K26" s="27"/>
      <c r="L26" s="27"/>
      <c r="M26" s="27"/>
      <c r="N26" s="27"/>
      <c r="O26" s="27"/>
      <c r="P26" s="27"/>
      <c r="Q26" s="27"/>
      <c r="R26" s="27"/>
      <c r="S26" s="27"/>
      <c r="T26" s="27"/>
      <c r="U26" s="27"/>
      <c r="V26" s="27"/>
      <c r="W26" s="27"/>
      <c r="X26" s="27"/>
      <c r="Y26" s="27"/>
      <c r="Z26" s="27"/>
    </row>
    <row r="27" ht="13.5" customHeight="1">
      <c r="A27" s="27"/>
      <c r="B27" s="28">
        <v>22.0</v>
      </c>
      <c r="C27" s="36"/>
      <c r="D27" s="30"/>
      <c r="E27" s="37"/>
      <c r="F27" s="32"/>
      <c r="G27" s="33"/>
      <c r="H27" s="34"/>
      <c r="I27" s="35"/>
      <c r="J27" s="27"/>
      <c r="K27" s="27"/>
      <c r="L27" s="27"/>
      <c r="M27" s="27"/>
      <c r="N27" s="27"/>
      <c r="O27" s="27"/>
      <c r="P27" s="27"/>
      <c r="Q27" s="27"/>
      <c r="R27" s="27"/>
      <c r="S27" s="27"/>
      <c r="T27" s="27"/>
      <c r="U27" s="27"/>
      <c r="V27" s="27"/>
      <c r="W27" s="27"/>
      <c r="X27" s="27"/>
      <c r="Y27" s="27"/>
      <c r="Z27" s="27"/>
    </row>
    <row r="28" ht="13.5" customHeight="1">
      <c r="A28" s="27"/>
      <c r="B28" s="28">
        <v>23.0</v>
      </c>
      <c r="C28" s="36"/>
      <c r="D28" s="30"/>
      <c r="E28" s="37"/>
      <c r="F28" s="32"/>
      <c r="G28" s="33"/>
      <c r="H28" s="34"/>
      <c r="I28" s="35"/>
      <c r="J28" s="27"/>
      <c r="K28" s="27"/>
      <c r="L28" s="27"/>
      <c r="M28" s="27"/>
      <c r="N28" s="27"/>
      <c r="O28" s="27"/>
      <c r="P28" s="27"/>
      <c r="Q28" s="27"/>
      <c r="R28" s="27"/>
      <c r="S28" s="27"/>
      <c r="T28" s="27"/>
      <c r="U28" s="27"/>
      <c r="V28" s="27"/>
      <c r="W28" s="27"/>
      <c r="X28" s="27"/>
      <c r="Y28" s="27"/>
      <c r="Z28" s="27"/>
    </row>
    <row r="29" ht="13.5" customHeight="1">
      <c r="A29" s="27"/>
      <c r="B29" s="28">
        <v>24.0</v>
      </c>
      <c r="C29" s="36"/>
      <c r="D29" s="30"/>
      <c r="E29" s="37"/>
      <c r="F29" s="32"/>
      <c r="G29" s="33"/>
      <c r="H29" s="34"/>
      <c r="I29" s="35"/>
      <c r="J29" s="27"/>
      <c r="K29" s="27"/>
      <c r="L29" s="27"/>
      <c r="M29" s="27"/>
      <c r="N29" s="27"/>
      <c r="O29" s="27"/>
      <c r="P29" s="27"/>
      <c r="Q29" s="27"/>
      <c r="R29" s="27"/>
      <c r="S29" s="27"/>
      <c r="T29" s="27"/>
      <c r="U29" s="27"/>
      <c r="V29" s="27"/>
      <c r="W29" s="27"/>
      <c r="X29" s="27"/>
      <c r="Y29" s="27"/>
      <c r="Z29" s="27"/>
    </row>
    <row r="30" ht="13.5" customHeight="1">
      <c r="A30" s="27"/>
      <c r="B30" s="28">
        <v>25.0</v>
      </c>
      <c r="C30" s="36"/>
      <c r="D30" s="30"/>
      <c r="E30" s="37"/>
      <c r="F30" s="32"/>
      <c r="G30" s="33"/>
      <c r="H30" s="34"/>
      <c r="I30" s="35"/>
      <c r="J30" s="27"/>
      <c r="K30" s="27"/>
      <c r="L30" s="27"/>
      <c r="M30" s="27"/>
      <c r="N30" s="27"/>
      <c r="O30" s="27"/>
      <c r="P30" s="27"/>
      <c r="Q30" s="27"/>
      <c r="R30" s="27"/>
      <c r="S30" s="27"/>
      <c r="T30" s="27"/>
      <c r="U30" s="27"/>
      <c r="V30" s="27"/>
      <c r="W30" s="27"/>
      <c r="X30" s="27"/>
      <c r="Y30" s="27"/>
      <c r="Z30" s="27"/>
    </row>
    <row r="31" ht="13.5" customHeight="1">
      <c r="A31" s="27"/>
      <c r="B31" s="28"/>
      <c r="C31" s="36"/>
      <c r="D31" s="30"/>
      <c r="E31" s="37"/>
      <c r="F31" s="32"/>
      <c r="G31" s="33"/>
      <c r="H31" s="34"/>
      <c r="I31" s="35"/>
      <c r="J31" s="27"/>
      <c r="K31" s="27"/>
      <c r="L31" s="27"/>
      <c r="M31" s="27"/>
      <c r="N31" s="27"/>
      <c r="O31" s="27"/>
      <c r="P31" s="27"/>
      <c r="Q31" s="27"/>
      <c r="R31" s="27"/>
      <c r="S31" s="27"/>
      <c r="T31" s="27"/>
      <c r="U31" s="27"/>
      <c r="V31" s="27"/>
      <c r="W31" s="27"/>
      <c r="X31" s="27"/>
      <c r="Y31" s="27"/>
      <c r="Z31" s="27"/>
    </row>
    <row r="32" ht="13.5" customHeight="1">
      <c r="A32" s="27"/>
      <c r="B32" s="28"/>
      <c r="C32" s="36"/>
      <c r="D32" s="30"/>
      <c r="E32" s="37"/>
      <c r="F32" s="32"/>
      <c r="G32" s="33"/>
      <c r="H32" s="34"/>
      <c r="I32" s="35"/>
      <c r="J32" s="27"/>
      <c r="K32" s="27"/>
      <c r="L32" s="27"/>
      <c r="M32" s="27"/>
      <c r="N32" s="27"/>
      <c r="O32" s="27"/>
      <c r="P32" s="27"/>
      <c r="Q32" s="27"/>
      <c r="R32" s="27"/>
      <c r="S32" s="27"/>
      <c r="T32" s="27"/>
      <c r="U32" s="27"/>
      <c r="V32" s="27"/>
      <c r="W32" s="27"/>
      <c r="X32" s="27"/>
      <c r="Y32" s="27"/>
      <c r="Z32" s="27"/>
    </row>
    <row r="33" ht="13.5" customHeight="1">
      <c r="A33" s="27"/>
      <c r="B33" s="28"/>
      <c r="C33" s="36"/>
      <c r="D33" s="30"/>
      <c r="E33" s="37"/>
      <c r="F33" s="32"/>
      <c r="G33" s="33"/>
      <c r="H33" s="34"/>
      <c r="I33" s="35"/>
      <c r="J33" s="27"/>
      <c r="K33" s="27"/>
      <c r="L33" s="27"/>
      <c r="M33" s="27"/>
      <c r="N33" s="27"/>
      <c r="O33" s="27"/>
      <c r="P33" s="27"/>
      <c r="Q33" s="27"/>
      <c r="R33" s="27"/>
      <c r="S33" s="27"/>
      <c r="T33" s="27"/>
      <c r="U33" s="27"/>
      <c r="V33" s="27"/>
      <c r="W33" s="27"/>
      <c r="X33" s="27"/>
      <c r="Y33" s="27"/>
      <c r="Z33" s="27"/>
    </row>
    <row r="34" ht="13.5" customHeight="1">
      <c r="A34" s="27"/>
      <c r="B34" s="28"/>
      <c r="C34" s="36"/>
      <c r="D34" s="30"/>
      <c r="E34" s="37"/>
      <c r="F34" s="32"/>
      <c r="G34" s="33"/>
      <c r="H34" s="34"/>
      <c r="I34" s="35"/>
      <c r="J34" s="27"/>
      <c r="K34" s="27"/>
      <c r="L34" s="27"/>
      <c r="M34" s="27"/>
      <c r="N34" s="27"/>
      <c r="O34" s="27"/>
      <c r="P34" s="27"/>
      <c r="Q34" s="27"/>
      <c r="R34" s="27"/>
      <c r="S34" s="27"/>
      <c r="T34" s="27"/>
      <c r="U34" s="27"/>
      <c r="V34" s="27"/>
      <c r="W34" s="27"/>
      <c r="X34" s="27"/>
      <c r="Y34" s="27"/>
      <c r="Z34" s="27"/>
    </row>
    <row r="35" ht="16.5" customHeight="1">
      <c r="A35" s="12"/>
      <c r="B35" s="43"/>
      <c r="C35" s="43"/>
      <c r="D35" s="43"/>
      <c r="E35" s="43"/>
      <c r="F35" s="43"/>
      <c r="G35" s="33"/>
      <c r="H35" s="34"/>
      <c r="I35" s="21"/>
      <c r="J35" s="12"/>
      <c r="K35" s="12"/>
      <c r="L35" s="12"/>
      <c r="M35" s="12"/>
      <c r="N35" s="12"/>
      <c r="O35" s="12"/>
      <c r="P35" s="12"/>
      <c r="Q35" s="12"/>
      <c r="R35" s="12"/>
      <c r="S35" s="12"/>
      <c r="T35" s="12"/>
      <c r="U35" s="12"/>
      <c r="V35" s="12"/>
      <c r="W35" s="12"/>
      <c r="X35" s="12"/>
      <c r="Y35" s="12"/>
      <c r="Z35" s="12"/>
    </row>
    <row r="36" ht="13.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3.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3.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3.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3.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3.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3.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3.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3.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3.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3.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3.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3.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3.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3.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3.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3.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3.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3.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3.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3.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3.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3.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3.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3.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3.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3.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3.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3.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3.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3.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3.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3.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3.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3.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3.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3.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3.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3.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3.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3.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3.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3.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3.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3.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3.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3.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3.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3.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3.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3.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3.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3.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3.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3.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3.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3.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3.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3.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3.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3.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3.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3.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3.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3.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3.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3.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3.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3.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3.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3.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3.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3.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3.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3.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3.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3.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3.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3.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3.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3.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3.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3.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3.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3.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3.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3.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3.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3.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3.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3.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3.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3.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3.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3.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3.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3.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3.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3.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3.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3.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3.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3.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3.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3.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3.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3.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3.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3.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3.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3.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3.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3.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3.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3.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3.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3.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3.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3.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3.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3.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3.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3.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3.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3.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3.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3.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3.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3.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3.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3.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3.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3.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3.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3.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3.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3.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3.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3.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3.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3.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3.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3.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3.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3.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3.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3.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3.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3.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3.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3.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3.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3.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3.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3.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3.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3.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3.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3.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3.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3.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3.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3.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3.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3.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3.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3.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3.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3.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3.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3.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3.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3.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3.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3.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3.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3.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3.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3.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3.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3.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3.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3.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3.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3.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3.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3.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3.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3.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3.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3.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3.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3.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3.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3.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3.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3.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3.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3.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3.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3.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3.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3.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3.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3.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3.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3.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3.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3.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3.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3.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3.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3.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3.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3.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3.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3.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3.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3.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3.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3.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3.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3.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3.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3.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3.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3.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3.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3.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3.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3.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3.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3.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3.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3.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3.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3.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3.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3.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3.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3.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3.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3.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3.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3.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3.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3.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3.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3.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3.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3.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3.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3.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3.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3.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3.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3.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3.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3.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3.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3.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3.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3.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3.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3.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3.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3.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3.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3.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3.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3.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3.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3.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3.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3.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3.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3.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3.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3.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3.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3.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3.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3.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3.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3.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3.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3.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3.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3.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3.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3.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3.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3.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3.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3.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3.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3.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3.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3.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3.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3.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3.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3.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3.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3.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3.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3.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3.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3.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3.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3.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3.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3.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3.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3.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3.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3.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3.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3.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3.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3.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3.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3.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3.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3.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3.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3.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3.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3.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3.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3.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3.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3.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3.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3.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3.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3.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3.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3.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3.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3.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3.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3.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3.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3.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3.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3.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3.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3.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3.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3.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3.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3.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3.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3.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3.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3.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3.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3.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3.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3.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3.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3.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3.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3.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3.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3.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3.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3.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3.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3.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3.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3.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3.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3.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3.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3.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3.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3.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3.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3.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3.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3.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3.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3.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3.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3.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3.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3.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3.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3.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3.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3.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3.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3.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3.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3.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3.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3.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3.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3.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3.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3.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3.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3.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3.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3.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3.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3.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3.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3.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3.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3.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3.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3.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3.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3.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3.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3.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3.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3.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3.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3.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3.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3.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3.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3.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3.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3.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3.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3.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3.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3.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3.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3.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3.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3.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3.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3.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3.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3.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3.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3.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3.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3.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3.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3.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3.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3.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3.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3.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3.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3.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3.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3.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3.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3.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3.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3.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3.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3.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3.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3.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3.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3.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3.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3.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3.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3.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3.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3.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3.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3.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3.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3.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3.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3.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3.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3.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3.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3.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3.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3.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3.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3.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3.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3.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3.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3.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3.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3.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3.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3.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3.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3.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3.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3.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3.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3.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3.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3.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3.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3.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3.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3.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3.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3.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3.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3.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3.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3.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3.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3.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3.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3.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3.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3.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3.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3.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3.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3.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3.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3.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3.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3.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3.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3.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3.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3.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3.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3.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3.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3.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3.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3.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3.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3.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3.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3.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3.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3.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3.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3.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3.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3.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3.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3.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3.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3.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3.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3.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3.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3.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3.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3.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3.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3.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3.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3.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3.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3.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3.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3.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3.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3.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3.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3.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3.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3.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3.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3.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3.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3.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3.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3.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3.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3.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3.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3.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3.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3.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3.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3.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3.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3.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3.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3.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3.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3.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3.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3.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3.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3.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3.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3.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3.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3.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3.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3.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3.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3.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3.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3.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3.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3.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3.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3.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3.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3.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3.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3.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3.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3.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3.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3.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3.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3.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3.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3.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3.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3.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3.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3.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3.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3.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3.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3.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3.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3.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3.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3.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3.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3.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3.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3.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3.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3.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3.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3.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3.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3.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3.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3.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3.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3.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3.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3.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3.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3.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3.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3.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3.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3.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3.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3.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3.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3.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3.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3.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3.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3.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3.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3.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3.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3.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3.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3.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3.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3.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3.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3.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3.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3.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3.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3.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3.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3.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3.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3.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3.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3.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3.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3.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3.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3.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3.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3.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3.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3.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3.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3.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3.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3.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3.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3.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3.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3.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3.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3.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3.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3.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3.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3.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3.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3.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3.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3.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3.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3.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3.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3.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3.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3.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3.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3.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3.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3.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3.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3.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3.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3.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3.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3.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3.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3.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3.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3.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3.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3.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3.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3.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3.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3.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3.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3.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3.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3.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3.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3.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3.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3.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3.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3.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3.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3.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3.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3.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3.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3.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3.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3.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3.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3.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3.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3.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3.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3.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3.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3.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3.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3.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3.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3.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3.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3.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3.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3.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3.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3.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3.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3.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3.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3.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3.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3.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3.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3.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3.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3.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3.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3.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3.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3.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3.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3.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3.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3.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3.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3.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3.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3.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3.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3.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3.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3.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3.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3.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3.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3.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3.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3.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3.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3.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3.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3.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3.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3.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3.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3.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3.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3.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3.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3.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3.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3.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3.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3.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3.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3.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3.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3.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3.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3.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3.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3.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3.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3.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3.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3.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3.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3.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3.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3.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3.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3.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3.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3.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3.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3.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3.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3.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3.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3.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3.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3.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3.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3.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3.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3.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3.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3.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3.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3.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3.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3.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3.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3.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3.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3.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3.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3.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3.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3.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3.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3.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3.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3.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3.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3.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3.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3.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3.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3.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3.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3.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3.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3.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3.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3.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3.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3.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3.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3.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3.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3.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3.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3.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3.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3.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3.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3.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3.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3.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3.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3.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3.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3.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3.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3.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3.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3.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3.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3.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3.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3.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3.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3.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3.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3.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3.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3.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3.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3.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3.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3.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3.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3.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3.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3.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3.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3.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3.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3.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3.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3.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3.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3.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3.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3.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3.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3.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3.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3.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3.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3.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3.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3.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3.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3.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3.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3.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3.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3.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3.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3.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3.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3.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3.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3.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3.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3.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3.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3.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3.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3.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3.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3.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3.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3.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3.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3.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3.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3.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3.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3.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6">
    <mergeCell ref="B2:F2"/>
    <mergeCell ref="B4:C5"/>
    <mergeCell ref="D4:D5"/>
    <mergeCell ref="E4:E5"/>
    <mergeCell ref="F4:F5"/>
    <mergeCell ref="G4:H4"/>
  </mergeCells>
  <dataValidations>
    <dataValidation type="list" allowBlank="1" showErrorMessage="1" sqref="E6:E34">
      <formula1>List_1</formula1>
    </dataValidation>
    <dataValidation type="list" allowBlank="1" showErrorMessage="1" sqref="D6:D34">
      <formula1>List_2</formula1>
    </dataValidation>
  </dataValidation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showGridLines="0" workbookViewId="0"/>
  </sheetViews>
  <sheetFormatPr customHeight="1" defaultColWidth="14.43" defaultRowHeight="15.0"/>
  <cols>
    <col customWidth="1" min="1" max="1" width="2.86"/>
    <col customWidth="1" min="2" max="2" width="7.43"/>
    <col customWidth="1" min="3" max="3" width="60.71"/>
    <col customWidth="1" min="4" max="4" width="18.86"/>
    <col customWidth="1" min="5" max="5" width="19.86"/>
    <col customWidth="1" min="6" max="6" width="41.43"/>
    <col customWidth="1" min="7" max="8" width="24.71"/>
    <col customWidth="1" min="9" max="26" width="9.14"/>
  </cols>
  <sheetData>
    <row r="1" ht="13.5"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ht="33.75" customHeight="1">
      <c r="A2" s="12"/>
      <c r="B2" s="13" t="s">
        <v>427</v>
      </c>
      <c r="C2" s="14"/>
      <c r="D2" s="14"/>
      <c r="E2" s="14"/>
      <c r="F2" s="5"/>
      <c r="G2" s="12"/>
      <c r="H2" s="12"/>
      <c r="I2" s="12"/>
      <c r="J2" s="12"/>
      <c r="K2" s="12"/>
      <c r="L2" s="12"/>
      <c r="M2" s="12"/>
      <c r="N2" s="12"/>
      <c r="O2" s="12"/>
      <c r="P2" s="12"/>
      <c r="Q2" s="12"/>
      <c r="R2" s="12"/>
      <c r="S2" s="12"/>
      <c r="T2" s="12"/>
      <c r="U2" s="12"/>
      <c r="V2" s="12"/>
      <c r="W2" s="12"/>
      <c r="X2" s="12"/>
      <c r="Y2" s="12"/>
      <c r="Z2" s="12"/>
    </row>
    <row r="3" ht="13.5" customHeight="1">
      <c r="A3" s="12"/>
      <c r="B3" s="12"/>
      <c r="C3" s="12"/>
      <c r="D3" s="12"/>
      <c r="E3" s="12"/>
      <c r="F3" s="12"/>
      <c r="G3" s="12"/>
      <c r="H3" s="12"/>
      <c r="I3" s="12"/>
      <c r="J3" s="12"/>
      <c r="K3" s="12"/>
      <c r="L3" s="12"/>
      <c r="M3" s="12"/>
      <c r="N3" s="12"/>
      <c r="O3" s="12"/>
      <c r="P3" s="12"/>
      <c r="Q3" s="12"/>
      <c r="R3" s="12"/>
      <c r="S3" s="12"/>
      <c r="T3" s="12"/>
      <c r="U3" s="12"/>
      <c r="V3" s="12"/>
      <c r="W3" s="12"/>
      <c r="X3" s="12"/>
      <c r="Y3" s="12"/>
      <c r="Z3" s="12"/>
    </row>
    <row r="4" ht="25.5" customHeight="1">
      <c r="A4" s="12"/>
      <c r="B4" s="16" t="s">
        <v>427</v>
      </c>
      <c r="C4" s="17"/>
      <c r="D4" s="18" t="s">
        <v>428</v>
      </c>
      <c r="E4" s="18" t="s">
        <v>429</v>
      </c>
      <c r="F4" s="18" t="s">
        <v>79</v>
      </c>
      <c r="G4" s="19"/>
      <c r="H4" s="20"/>
      <c r="I4" s="21"/>
      <c r="J4" s="12"/>
      <c r="K4" s="12"/>
      <c r="L4" s="12"/>
      <c r="M4" s="12"/>
      <c r="N4" s="12"/>
      <c r="O4" s="12"/>
      <c r="P4" s="12"/>
      <c r="Q4" s="12"/>
      <c r="R4" s="12"/>
      <c r="S4" s="12"/>
      <c r="T4" s="12"/>
      <c r="U4" s="12"/>
      <c r="V4" s="12"/>
      <c r="W4" s="12"/>
      <c r="X4" s="12"/>
      <c r="Y4" s="12"/>
      <c r="Z4" s="12"/>
    </row>
    <row r="5" ht="63.0" customHeight="1">
      <c r="A5" s="12"/>
      <c r="B5" s="22"/>
      <c r="C5" s="23"/>
      <c r="D5" s="24"/>
      <c r="E5" s="24"/>
      <c r="F5" s="24"/>
      <c r="G5" s="25"/>
      <c r="H5" s="26"/>
      <c r="I5" s="21"/>
      <c r="J5" s="12"/>
      <c r="K5" s="12"/>
      <c r="L5" s="12"/>
      <c r="M5" s="12"/>
      <c r="N5" s="12"/>
      <c r="O5" s="12"/>
      <c r="P5" s="12"/>
      <c r="Q5" s="12"/>
      <c r="R5" s="12"/>
      <c r="S5" s="12"/>
      <c r="T5" s="12"/>
      <c r="U5" s="12"/>
      <c r="V5" s="12"/>
      <c r="W5" s="12"/>
      <c r="X5" s="12"/>
      <c r="Y5" s="12"/>
      <c r="Z5" s="12"/>
    </row>
    <row r="6" ht="13.5" customHeight="1">
      <c r="A6" s="27"/>
      <c r="B6" s="28">
        <v>1.0</v>
      </c>
      <c r="C6" s="36" t="s">
        <v>430</v>
      </c>
      <c r="D6" s="30" t="s">
        <v>110</v>
      </c>
      <c r="E6" s="37"/>
      <c r="F6" s="32"/>
      <c r="G6" s="33"/>
      <c r="H6" s="34"/>
      <c r="I6" s="35"/>
      <c r="J6" s="27"/>
      <c r="K6" s="27"/>
      <c r="L6" s="27"/>
      <c r="M6" s="27"/>
      <c r="N6" s="27"/>
      <c r="O6" s="27"/>
      <c r="P6" s="27"/>
      <c r="Q6" s="27"/>
      <c r="R6" s="27"/>
      <c r="S6" s="27"/>
      <c r="T6" s="27"/>
      <c r="U6" s="27"/>
      <c r="V6" s="27"/>
      <c r="W6" s="27"/>
      <c r="X6" s="27"/>
      <c r="Y6" s="27"/>
      <c r="Z6" s="27"/>
    </row>
    <row r="7" ht="13.5" customHeight="1">
      <c r="A7" s="27"/>
      <c r="B7" s="28">
        <v>2.0</v>
      </c>
      <c r="C7" s="36" t="s">
        <v>431</v>
      </c>
      <c r="D7" s="30" t="s">
        <v>110</v>
      </c>
      <c r="E7" s="37"/>
      <c r="F7" s="32"/>
      <c r="G7" s="33"/>
      <c r="H7" s="34"/>
      <c r="I7" s="35"/>
      <c r="J7" s="27"/>
      <c r="K7" s="27"/>
      <c r="L7" s="27"/>
      <c r="M7" s="27"/>
      <c r="N7" s="27"/>
      <c r="O7" s="27"/>
      <c r="P7" s="27"/>
      <c r="Q7" s="27"/>
      <c r="R7" s="27"/>
      <c r="S7" s="27"/>
      <c r="T7" s="27"/>
      <c r="U7" s="27"/>
      <c r="V7" s="27"/>
      <c r="W7" s="27"/>
      <c r="X7" s="27"/>
      <c r="Y7" s="27"/>
      <c r="Z7" s="27"/>
    </row>
    <row r="8" ht="13.5" customHeight="1">
      <c r="A8" s="27"/>
      <c r="B8" s="28">
        <v>3.0</v>
      </c>
      <c r="C8" s="36" t="s">
        <v>432</v>
      </c>
      <c r="D8" s="30" t="s">
        <v>110</v>
      </c>
      <c r="E8" s="37"/>
      <c r="F8" s="32"/>
      <c r="G8" s="33"/>
      <c r="H8" s="34"/>
      <c r="I8" s="35"/>
      <c r="J8" s="27"/>
      <c r="K8" s="27"/>
      <c r="L8" s="27"/>
      <c r="M8" s="27"/>
      <c r="N8" s="27"/>
      <c r="O8" s="27"/>
      <c r="P8" s="27"/>
      <c r="Q8" s="27"/>
      <c r="R8" s="27"/>
      <c r="S8" s="27"/>
      <c r="T8" s="27"/>
      <c r="U8" s="27"/>
      <c r="V8" s="27"/>
      <c r="W8" s="27"/>
      <c r="X8" s="27"/>
      <c r="Y8" s="27"/>
      <c r="Z8" s="27"/>
    </row>
    <row r="9" ht="13.5" customHeight="1">
      <c r="A9" s="27"/>
      <c r="B9" s="28">
        <v>4.0</v>
      </c>
      <c r="C9" s="36" t="s">
        <v>433</v>
      </c>
      <c r="D9" s="30" t="s">
        <v>110</v>
      </c>
      <c r="E9" s="37"/>
      <c r="F9" s="32"/>
      <c r="G9" s="33"/>
      <c r="H9" s="34"/>
      <c r="I9" s="35"/>
      <c r="J9" s="27"/>
      <c r="K9" s="27"/>
      <c r="L9" s="27"/>
      <c r="M9" s="27"/>
      <c r="N9" s="27"/>
      <c r="O9" s="27"/>
      <c r="P9" s="27"/>
      <c r="Q9" s="27"/>
      <c r="R9" s="27"/>
      <c r="S9" s="27"/>
      <c r="T9" s="27"/>
      <c r="U9" s="27"/>
      <c r="V9" s="27"/>
      <c r="W9" s="27"/>
      <c r="X9" s="27"/>
      <c r="Y9" s="27"/>
      <c r="Z9" s="27"/>
    </row>
    <row r="10" ht="13.5" customHeight="1">
      <c r="A10" s="27"/>
      <c r="B10" s="28">
        <v>5.0</v>
      </c>
      <c r="C10" s="36" t="s">
        <v>434</v>
      </c>
      <c r="D10" s="30" t="s">
        <v>110</v>
      </c>
      <c r="E10" s="37"/>
      <c r="F10" s="32"/>
      <c r="G10" s="33"/>
      <c r="H10" s="34"/>
      <c r="I10" s="35"/>
      <c r="J10" s="27"/>
      <c r="K10" s="27"/>
      <c r="L10" s="27"/>
      <c r="M10" s="27"/>
      <c r="N10" s="27"/>
      <c r="O10" s="27"/>
      <c r="P10" s="27"/>
      <c r="Q10" s="27"/>
      <c r="R10" s="27"/>
      <c r="S10" s="27"/>
      <c r="T10" s="27"/>
      <c r="U10" s="27"/>
      <c r="V10" s="27"/>
      <c r="W10" s="27"/>
      <c r="X10" s="27"/>
      <c r="Y10" s="27"/>
      <c r="Z10" s="27"/>
    </row>
    <row r="11" ht="13.5" customHeight="1">
      <c r="A11" s="27"/>
      <c r="B11" s="28">
        <v>6.0</v>
      </c>
      <c r="C11" s="36" t="s">
        <v>435</v>
      </c>
      <c r="D11" s="30" t="s">
        <v>116</v>
      </c>
      <c r="E11" s="37"/>
      <c r="F11" s="32"/>
      <c r="G11" s="33"/>
      <c r="H11" s="34"/>
      <c r="I11" s="35"/>
      <c r="J11" s="27"/>
      <c r="K11" s="27"/>
      <c r="L11" s="27"/>
      <c r="M11" s="27"/>
      <c r="N11" s="27"/>
      <c r="O11" s="27"/>
      <c r="P11" s="27"/>
      <c r="Q11" s="27"/>
      <c r="R11" s="27"/>
      <c r="S11" s="27"/>
      <c r="T11" s="27"/>
      <c r="U11" s="27"/>
      <c r="V11" s="27"/>
      <c r="W11" s="27"/>
      <c r="X11" s="27"/>
      <c r="Y11" s="27"/>
      <c r="Z11" s="27"/>
    </row>
    <row r="12" ht="13.5" customHeight="1">
      <c r="A12" s="27"/>
      <c r="B12" s="28">
        <v>7.0</v>
      </c>
      <c r="C12" s="36" t="s">
        <v>436</v>
      </c>
      <c r="D12" s="30" t="s">
        <v>110</v>
      </c>
      <c r="E12" s="37"/>
      <c r="F12" s="32"/>
      <c r="G12" s="33"/>
      <c r="H12" s="34"/>
      <c r="I12" s="35"/>
      <c r="J12" s="27"/>
      <c r="K12" s="27"/>
      <c r="L12" s="27"/>
      <c r="M12" s="27"/>
      <c r="N12" s="27"/>
      <c r="O12" s="27"/>
      <c r="P12" s="27"/>
      <c r="Q12" s="27"/>
      <c r="R12" s="27"/>
      <c r="S12" s="27"/>
      <c r="T12" s="27"/>
      <c r="U12" s="27"/>
      <c r="V12" s="27"/>
      <c r="W12" s="27"/>
      <c r="X12" s="27"/>
      <c r="Y12" s="27"/>
      <c r="Z12" s="27"/>
    </row>
    <row r="13" ht="13.5" customHeight="1">
      <c r="A13" s="27"/>
      <c r="B13" s="28">
        <v>8.0</v>
      </c>
      <c r="C13" s="36" t="s">
        <v>437</v>
      </c>
      <c r="D13" s="30" t="s">
        <v>110</v>
      </c>
      <c r="E13" s="37"/>
      <c r="F13" s="32"/>
      <c r="G13" s="33"/>
      <c r="H13" s="34"/>
      <c r="I13" s="35"/>
      <c r="J13" s="27"/>
      <c r="K13" s="27"/>
      <c r="L13" s="27"/>
      <c r="M13" s="27"/>
      <c r="N13" s="27"/>
      <c r="O13" s="27"/>
      <c r="P13" s="27"/>
      <c r="Q13" s="27"/>
      <c r="R13" s="27"/>
      <c r="S13" s="27"/>
      <c r="T13" s="27"/>
      <c r="U13" s="27"/>
      <c r="V13" s="27"/>
      <c r="W13" s="27"/>
      <c r="X13" s="27"/>
      <c r="Y13" s="27"/>
      <c r="Z13" s="27"/>
    </row>
    <row r="14" ht="13.5" customHeight="1">
      <c r="A14" s="27"/>
      <c r="B14" s="28">
        <v>9.0</v>
      </c>
      <c r="C14" s="36" t="s">
        <v>438</v>
      </c>
      <c r="D14" s="30" t="s">
        <v>110</v>
      </c>
      <c r="E14" s="37"/>
      <c r="F14" s="32"/>
      <c r="G14" s="33"/>
      <c r="H14" s="34"/>
      <c r="I14" s="35"/>
      <c r="J14" s="27"/>
      <c r="K14" s="27"/>
      <c r="L14" s="27"/>
      <c r="M14" s="27"/>
      <c r="N14" s="27"/>
      <c r="O14" s="27"/>
      <c r="P14" s="27"/>
      <c r="Q14" s="27"/>
      <c r="R14" s="27"/>
      <c r="S14" s="27"/>
      <c r="T14" s="27"/>
      <c r="U14" s="27"/>
      <c r="V14" s="27"/>
      <c r="W14" s="27"/>
      <c r="X14" s="27"/>
      <c r="Y14" s="27"/>
      <c r="Z14" s="27"/>
    </row>
    <row r="15" ht="13.5" customHeight="1">
      <c r="A15" s="27"/>
      <c r="B15" s="28">
        <v>10.0</v>
      </c>
      <c r="C15" s="36" t="s">
        <v>439</v>
      </c>
      <c r="D15" s="30" t="s">
        <v>116</v>
      </c>
      <c r="E15" s="37"/>
      <c r="F15" s="32"/>
      <c r="G15" s="33"/>
      <c r="H15" s="34"/>
      <c r="I15" s="35"/>
      <c r="J15" s="27"/>
      <c r="K15" s="27"/>
      <c r="L15" s="27"/>
      <c r="M15" s="27"/>
      <c r="N15" s="27"/>
      <c r="O15" s="27"/>
      <c r="P15" s="27"/>
      <c r="Q15" s="27"/>
      <c r="R15" s="27"/>
      <c r="S15" s="27"/>
      <c r="T15" s="27"/>
      <c r="U15" s="27"/>
      <c r="V15" s="27"/>
      <c r="W15" s="27"/>
      <c r="X15" s="27"/>
      <c r="Y15" s="27"/>
      <c r="Z15" s="27"/>
    </row>
    <row r="16" ht="13.5" customHeight="1">
      <c r="A16" s="27"/>
      <c r="B16" s="28">
        <v>11.0</v>
      </c>
      <c r="C16" s="36"/>
      <c r="D16" s="30"/>
      <c r="E16" s="37"/>
      <c r="F16" s="32"/>
      <c r="G16" s="33"/>
      <c r="H16" s="34"/>
      <c r="I16" s="35"/>
      <c r="J16" s="27"/>
      <c r="K16" s="27"/>
      <c r="L16" s="27"/>
      <c r="M16" s="27"/>
      <c r="N16" s="27"/>
      <c r="O16" s="27"/>
      <c r="P16" s="27"/>
      <c r="Q16" s="27"/>
      <c r="R16" s="27"/>
      <c r="S16" s="27"/>
      <c r="T16" s="27"/>
      <c r="U16" s="27"/>
      <c r="V16" s="27"/>
      <c r="W16" s="27"/>
      <c r="X16" s="27"/>
      <c r="Y16" s="27"/>
      <c r="Z16" s="27"/>
    </row>
    <row r="17" ht="13.5" customHeight="1">
      <c r="A17" s="27"/>
      <c r="B17" s="28">
        <v>12.0</v>
      </c>
      <c r="C17" s="36"/>
      <c r="D17" s="30"/>
      <c r="E17" s="37"/>
      <c r="F17" s="32"/>
      <c r="G17" s="33"/>
      <c r="H17" s="34"/>
      <c r="I17" s="35"/>
      <c r="J17" s="27"/>
      <c r="K17" s="27"/>
      <c r="L17" s="27"/>
      <c r="M17" s="27"/>
      <c r="N17" s="27"/>
      <c r="O17" s="27"/>
      <c r="P17" s="27"/>
      <c r="Q17" s="27"/>
      <c r="R17" s="27"/>
      <c r="S17" s="27"/>
      <c r="T17" s="27"/>
      <c r="U17" s="27"/>
      <c r="V17" s="27"/>
      <c r="W17" s="27"/>
      <c r="X17" s="27"/>
      <c r="Y17" s="27"/>
      <c r="Z17" s="27"/>
    </row>
    <row r="18" ht="13.5" customHeight="1">
      <c r="A18" s="27"/>
      <c r="B18" s="28">
        <v>13.0</v>
      </c>
      <c r="C18" s="36"/>
      <c r="D18" s="30"/>
      <c r="E18" s="37"/>
      <c r="F18" s="32"/>
      <c r="G18" s="33"/>
      <c r="H18" s="34"/>
      <c r="I18" s="35"/>
      <c r="J18" s="27"/>
      <c r="K18" s="27"/>
      <c r="L18" s="27"/>
      <c r="M18" s="27"/>
      <c r="N18" s="27"/>
      <c r="O18" s="27"/>
      <c r="P18" s="27"/>
      <c r="Q18" s="27"/>
      <c r="R18" s="27"/>
      <c r="S18" s="27"/>
      <c r="T18" s="27"/>
      <c r="U18" s="27"/>
      <c r="V18" s="27"/>
      <c r="W18" s="27"/>
      <c r="X18" s="27"/>
      <c r="Y18" s="27"/>
      <c r="Z18" s="27"/>
    </row>
    <row r="19" ht="13.5" customHeight="1">
      <c r="A19" s="27"/>
      <c r="B19" s="28">
        <v>14.0</v>
      </c>
      <c r="C19" s="36"/>
      <c r="D19" s="30"/>
      <c r="E19" s="37"/>
      <c r="F19" s="32"/>
      <c r="G19" s="33"/>
      <c r="H19" s="34"/>
      <c r="I19" s="35"/>
      <c r="J19" s="27"/>
      <c r="K19" s="27"/>
      <c r="L19" s="27"/>
      <c r="M19" s="27"/>
      <c r="N19" s="27"/>
      <c r="O19" s="27"/>
      <c r="P19" s="27"/>
      <c r="Q19" s="27"/>
      <c r="R19" s="27"/>
      <c r="S19" s="27"/>
      <c r="T19" s="27"/>
      <c r="U19" s="27"/>
      <c r="V19" s="27"/>
      <c r="W19" s="27"/>
      <c r="X19" s="27"/>
      <c r="Y19" s="27"/>
      <c r="Z19" s="27"/>
    </row>
    <row r="20" ht="13.5" customHeight="1">
      <c r="A20" s="27"/>
      <c r="B20" s="28">
        <v>15.0</v>
      </c>
      <c r="C20" s="36"/>
      <c r="D20" s="30"/>
      <c r="E20" s="37"/>
      <c r="F20" s="32"/>
      <c r="G20" s="33"/>
      <c r="H20" s="34"/>
      <c r="I20" s="35"/>
      <c r="J20" s="27"/>
      <c r="K20" s="27"/>
      <c r="L20" s="27"/>
      <c r="M20" s="27"/>
      <c r="N20" s="27"/>
      <c r="O20" s="27"/>
      <c r="P20" s="27"/>
      <c r="Q20" s="27"/>
      <c r="R20" s="27"/>
      <c r="S20" s="27"/>
      <c r="T20" s="27"/>
      <c r="U20" s="27"/>
      <c r="V20" s="27"/>
      <c r="W20" s="27"/>
      <c r="X20" s="27"/>
      <c r="Y20" s="27"/>
      <c r="Z20" s="27"/>
    </row>
    <row r="21" ht="13.5" customHeight="1">
      <c r="A21" s="27"/>
      <c r="B21" s="28">
        <v>16.0</v>
      </c>
      <c r="C21" s="36"/>
      <c r="D21" s="30"/>
      <c r="E21" s="37"/>
      <c r="F21" s="32"/>
      <c r="G21" s="33"/>
      <c r="H21" s="34"/>
      <c r="I21" s="35"/>
      <c r="J21" s="27"/>
      <c r="K21" s="27"/>
      <c r="L21" s="27"/>
      <c r="M21" s="27"/>
      <c r="N21" s="27"/>
      <c r="O21" s="27"/>
      <c r="P21" s="27"/>
      <c r="Q21" s="27"/>
      <c r="R21" s="27"/>
      <c r="S21" s="27"/>
      <c r="T21" s="27"/>
      <c r="U21" s="27"/>
      <c r="V21" s="27"/>
      <c r="W21" s="27"/>
      <c r="X21" s="27"/>
      <c r="Y21" s="27"/>
      <c r="Z21" s="27"/>
    </row>
    <row r="22" ht="13.5" customHeight="1">
      <c r="A22" s="27"/>
      <c r="B22" s="28">
        <v>17.0</v>
      </c>
      <c r="C22" s="36"/>
      <c r="D22" s="30"/>
      <c r="E22" s="37"/>
      <c r="F22" s="32"/>
      <c r="G22" s="33"/>
      <c r="H22" s="34"/>
      <c r="I22" s="35"/>
      <c r="J22" s="27"/>
      <c r="K22" s="27"/>
      <c r="L22" s="27"/>
      <c r="M22" s="27"/>
      <c r="N22" s="27"/>
      <c r="O22" s="27"/>
      <c r="P22" s="27"/>
      <c r="Q22" s="27"/>
      <c r="R22" s="27"/>
      <c r="S22" s="27"/>
      <c r="T22" s="27"/>
      <c r="U22" s="27"/>
      <c r="V22" s="27"/>
      <c r="W22" s="27"/>
      <c r="X22" s="27"/>
      <c r="Y22" s="27"/>
      <c r="Z22" s="27"/>
    </row>
    <row r="23" ht="13.5" customHeight="1">
      <c r="A23" s="27"/>
      <c r="B23" s="28">
        <v>18.0</v>
      </c>
      <c r="C23" s="36"/>
      <c r="D23" s="30"/>
      <c r="E23" s="37"/>
      <c r="F23" s="32"/>
      <c r="G23" s="33"/>
      <c r="H23" s="34"/>
      <c r="I23" s="35"/>
      <c r="J23" s="27"/>
      <c r="K23" s="27"/>
      <c r="L23" s="27"/>
      <c r="M23" s="27"/>
      <c r="N23" s="27"/>
      <c r="O23" s="27"/>
      <c r="P23" s="27"/>
      <c r="Q23" s="27"/>
      <c r="R23" s="27"/>
      <c r="S23" s="27"/>
      <c r="T23" s="27"/>
      <c r="U23" s="27"/>
      <c r="V23" s="27"/>
      <c r="W23" s="27"/>
      <c r="X23" s="27"/>
      <c r="Y23" s="27"/>
      <c r="Z23" s="27"/>
    </row>
    <row r="24" ht="13.5" customHeight="1">
      <c r="A24" s="27"/>
      <c r="B24" s="28">
        <v>19.0</v>
      </c>
      <c r="C24" s="36"/>
      <c r="D24" s="30"/>
      <c r="E24" s="37"/>
      <c r="F24" s="32"/>
      <c r="G24" s="33"/>
      <c r="H24" s="34"/>
      <c r="I24" s="35"/>
      <c r="J24" s="27"/>
      <c r="K24" s="27"/>
      <c r="L24" s="27"/>
      <c r="M24" s="27"/>
      <c r="N24" s="27"/>
      <c r="O24" s="27"/>
      <c r="P24" s="27"/>
      <c r="Q24" s="27"/>
      <c r="R24" s="27"/>
      <c r="S24" s="27"/>
      <c r="T24" s="27"/>
      <c r="U24" s="27"/>
      <c r="V24" s="27"/>
      <c r="W24" s="27"/>
      <c r="X24" s="27"/>
      <c r="Y24" s="27"/>
      <c r="Z24" s="27"/>
    </row>
    <row r="25" ht="13.5" customHeight="1">
      <c r="A25" s="27"/>
      <c r="B25" s="28">
        <v>20.0</v>
      </c>
      <c r="C25" s="36"/>
      <c r="D25" s="30"/>
      <c r="E25" s="37"/>
      <c r="F25" s="32"/>
      <c r="G25" s="33"/>
      <c r="H25" s="34"/>
      <c r="I25" s="35"/>
      <c r="J25" s="27"/>
      <c r="K25" s="27"/>
      <c r="L25" s="27"/>
      <c r="M25" s="27"/>
      <c r="N25" s="27"/>
      <c r="O25" s="27"/>
      <c r="P25" s="27"/>
      <c r="Q25" s="27"/>
      <c r="R25" s="27"/>
      <c r="S25" s="27"/>
      <c r="T25" s="27"/>
      <c r="U25" s="27"/>
      <c r="V25" s="27"/>
      <c r="W25" s="27"/>
      <c r="X25" s="27"/>
      <c r="Y25" s="27"/>
      <c r="Z25" s="27"/>
    </row>
    <row r="26" ht="13.5" customHeight="1">
      <c r="A26" s="27"/>
      <c r="B26" s="28">
        <v>21.0</v>
      </c>
      <c r="C26" s="36"/>
      <c r="D26" s="30"/>
      <c r="E26" s="37"/>
      <c r="F26" s="32"/>
      <c r="G26" s="33"/>
      <c r="H26" s="34"/>
      <c r="I26" s="35"/>
      <c r="J26" s="27"/>
      <c r="K26" s="27"/>
      <c r="L26" s="27"/>
      <c r="M26" s="27"/>
      <c r="N26" s="27"/>
      <c r="O26" s="27"/>
      <c r="P26" s="27"/>
      <c r="Q26" s="27"/>
      <c r="R26" s="27"/>
      <c r="S26" s="27"/>
      <c r="T26" s="27"/>
      <c r="U26" s="27"/>
      <c r="V26" s="27"/>
      <c r="W26" s="27"/>
      <c r="X26" s="27"/>
      <c r="Y26" s="27"/>
      <c r="Z26" s="27"/>
    </row>
    <row r="27" ht="13.5" customHeight="1">
      <c r="A27" s="27"/>
      <c r="B27" s="28">
        <v>22.0</v>
      </c>
      <c r="C27" s="36"/>
      <c r="D27" s="30"/>
      <c r="E27" s="37"/>
      <c r="F27" s="32"/>
      <c r="G27" s="33"/>
      <c r="H27" s="34"/>
      <c r="I27" s="35"/>
      <c r="J27" s="27"/>
      <c r="K27" s="27"/>
      <c r="L27" s="27"/>
      <c r="M27" s="27"/>
      <c r="N27" s="27"/>
      <c r="O27" s="27"/>
      <c r="P27" s="27"/>
      <c r="Q27" s="27"/>
      <c r="R27" s="27"/>
      <c r="S27" s="27"/>
      <c r="T27" s="27"/>
      <c r="U27" s="27"/>
      <c r="V27" s="27"/>
      <c r="W27" s="27"/>
      <c r="X27" s="27"/>
      <c r="Y27" s="27"/>
      <c r="Z27" s="27"/>
    </row>
    <row r="28" ht="13.5" customHeight="1">
      <c r="A28" s="27"/>
      <c r="B28" s="28">
        <v>23.0</v>
      </c>
      <c r="C28" s="36"/>
      <c r="D28" s="30"/>
      <c r="E28" s="37"/>
      <c r="F28" s="32"/>
      <c r="G28" s="33"/>
      <c r="H28" s="34"/>
      <c r="I28" s="35"/>
      <c r="J28" s="27"/>
      <c r="K28" s="27"/>
      <c r="L28" s="27"/>
      <c r="M28" s="27"/>
      <c r="N28" s="27"/>
      <c r="O28" s="27"/>
      <c r="P28" s="27"/>
      <c r="Q28" s="27"/>
      <c r="R28" s="27"/>
      <c r="S28" s="27"/>
      <c r="T28" s="27"/>
      <c r="U28" s="27"/>
      <c r="V28" s="27"/>
      <c r="W28" s="27"/>
      <c r="X28" s="27"/>
      <c r="Y28" s="27"/>
      <c r="Z28" s="27"/>
    </row>
    <row r="29" ht="13.5" customHeight="1">
      <c r="A29" s="27"/>
      <c r="B29" s="28">
        <v>24.0</v>
      </c>
      <c r="C29" s="36"/>
      <c r="D29" s="30"/>
      <c r="E29" s="37"/>
      <c r="F29" s="32"/>
      <c r="G29" s="33"/>
      <c r="H29" s="34"/>
      <c r="I29" s="35"/>
      <c r="J29" s="27"/>
      <c r="K29" s="27"/>
      <c r="L29" s="27"/>
      <c r="M29" s="27"/>
      <c r="N29" s="27"/>
      <c r="O29" s="27"/>
      <c r="P29" s="27"/>
      <c r="Q29" s="27"/>
      <c r="R29" s="27"/>
      <c r="S29" s="27"/>
      <c r="T29" s="27"/>
      <c r="U29" s="27"/>
      <c r="V29" s="27"/>
      <c r="W29" s="27"/>
      <c r="X29" s="27"/>
      <c r="Y29" s="27"/>
      <c r="Z29" s="27"/>
    </row>
    <row r="30" ht="13.5" customHeight="1">
      <c r="A30" s="27"/>
      <c r="B30" s="28">
        <v>25.0</v>
      </c>
      <c r="C30" s="36"/>
      <c r="D30" s="30"/>
      <c r="E30" s="37"/>
      <c r="F30" s="32"/>
      <c r="G30" s="33"/>
      <c r="H30" s="34"/>
      <c r="I30" s="35"/>
      <c r="J30" s="27"/>
      <c r="K30" s="27"/>
      <c r="L30" s="27"/>
      <c r="M30" s="27"/>
      <c r="N30" s="27"/>
      <c r="O30" s="27"/>
      <c r="P30" s="27"/>
      <c r="Q30" s="27"/>
      <c r="R30" s="27"/>
      <c r="S30" s="27"/>
      <c r="T30" s="27"/>
      <c r="U30" s="27"/>
      <c r="V30" s="27"/>
      <c r="W30" s="27"/>
      <c r="X30" s="27"/>
      <c r="Y30" s="27"/>
      <c r="Z30" s="27"/>
    </row>
    <row r="31" ht="13.5" customHeight="1">
      <c r="A31" s="27"/>
      <c r="B31" s="28"/>
      <c r="C31" s="36"/>
      <c r="D31" s="30"/>
      <c r="E31" s="37"/>
      <c r="F31" s="32"/>
      <c r="G31" s="33"/>
      <c r="H31" s="34"/>
      <c r="I31" s="35"/>
      <c r="J31" s="27"/>
      <c r="K31" s="27"/>
      <c r="L31" s="27"/>
      <c r="M31" s="27"/>
      <c r="N31" s="27"/>
      <c r="O31" s="27"/>
      <c r="P31" s="27"/>
      <c r="Q31" s="27"/>
      <c r="R31" s="27"/>
      <c r="S31" s="27"/>
      <c r="T31" s="27"/>
      <c r="U31" s="27"/>
      <c r="V31" s="27"/>
      <c r="W31" s="27"/>
      <c r="X31" s="27"/>
      <c r="Y31" s="27"/>
      <c r="Z31" s="27"/>
    </row>
    <row r="32" ht="13.5" customHeight="1">
      <c r="A32" s="27"/>
      <c r="B32" s="28"/>
      <c r="C32" s="36"/>
      <c r="D32" s="30"/>
      <c r="E32" s="37"/>
      <c r="F32" s="32"/>
      <c r="G32" s="33"/>
      <c r="H32" s="34"/>
      <c r="I32" s="35"/>
      <c r="J32" s="27"/>
      <c r="K32" s="27"/>
      <c r="L32" s="27"/>
      <c r="M32" s="27"/>
      <c r="N32" s="27"/>
      <c r="O32" s="27"/>
      <c r="P32" s="27"/>
      <c r="Q32" s="27"/>
      <c r="R32" s="27"/>
      <c r="S32" s="27"/>
      <c r="T32" s="27"/>
      <c r="U32" s="27"/>
      <c r="V32" s="27"/>
      <c r="W32" s="27"/>
      <c r="X32" s="27"/>
      <c r="Y32" s="27"/>
      <c r="Z32" s="27"/>
    </row>
    <row r="33" ht="13.5" customHeight="1">
      <c r="A33" s="27"/>
      <c r="B33" s="28"/>
      <c r="C33" s="36"/>
      <c r="D33" s="30"/>
      <c r="E33" s="37"/>
      <c r="F33" s="32"/>
      <c r="G33" s="33"/>
      <c r="H33" s="34"/>
      <c r="I33" s="35"/>
      <c r="J33" s="27"/>
      <c r="K33" s="27"/>
      <c r="L33" s="27"/>
      <c r="M33" s="27"/>
      <c r="N33" s="27"/>
      <c r="O33" s="27"/>
      <c r="P33" s="27"/>
      <c r="Q33" s="27"/>
      <c r="R33" s="27"/>
      <c r="S33" s="27"/>
      <c r="T33" s="27"/>
      <c r="U33" s="27"/>
      <c r="V33" s="27"/>
      <c r="W33" s="27"/>
      <c r="X33" s="27"/>
      <c r="Y33" s="27"/>
      <c r="Z33" s="27"/>
    </row>
    <row r="34" ht="13.5" customHeight="1">
      <c r="A34" s="27"/>
      <c r="B34" s="28"/>
      <c r="C34" s="36"/>
      <c r="D34" s="30"/>
      <c r="E34" s="37"/>
      <c r="F34" s="32"/>
      <c r="G34" s="33"/>
      <c r="H34" s="34"/>
      <c r="I34" s="35"/>
      <c r="J34" s="27"/>
      <c r="K34" s="27"/>
      <c r="L34" s="27"/>
      <c r="M34" s="27"/>
      <c r="N34" s="27"/>
      <c r="O34" s="27"/>
      <c r="P34" s="27"/>
      <c r="Q34" s="27"/>
      <c r="R34" s="27"/>
      <c r="S34" s="27"/>
      <c r="T34" s="27"/>
      <c r="U34" s="27"/>
      <c r="V34" s="27"/>
      <c r="W34" s="27"/>
      <c r="X34" s="27"/>
      <c r="Y34" s="27"/>
      <c r="Z34" s="27"/>
    </row>
    <row r="35" ht="16.5" customHeight="1">
      <c r="A35" s="12"/>
      <c r="B35" s="43"/>
      <c r="C35" s="43"/>
      <c r="D35" s="43"/>
      <c r="E35" s="43"/>
      <c r="F35" s="43"/>
      <c r="G35" s="33"/>
      <c r="H35" s="34"/>
      <c r="I35" s="21"/>
      <c r="J35" s="12"/>
      <c r="K35" s="12"/>
      <c r="L35" s="12"/>
      <c r="M35" s="12"/>
      <c r="N35" s="12"/>
      <c r="O35" s="12"/>
      <c r="P35" s="12"/>
      <c r="Q35" s="12"/>
      <c r="R35" s="12"/>
      <c r="S35" s="12"/>
      <c r="T35" s="12"/>
      <c r="U35" s="12"/>
      <c r="V35" s="12"/>
      <c r="W35" s="12"/>
      <c r="X35" s="12"/>
      <c r="Y35" s="12"/>
      <c r="Z35" s="12"/>
    </row>
    <row r="36" ht="13.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3.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3.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3.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3.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3.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3.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3.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3.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3.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3.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3.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3.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3.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3.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3.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3.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3.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3.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3.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3.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3.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3.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3.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3.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3.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3.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3.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3.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3.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3.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3.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3.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3.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3.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3.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3.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3.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3.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3.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3.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3.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3.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3.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3.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3.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3.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3.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3.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3.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3.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3.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3.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3.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3.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3.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3.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3.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3.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3.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3.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3.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3.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3.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3.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3.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3.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3.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3.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3.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3.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3.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3.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3.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3.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3.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3.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3.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3.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3.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3.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3.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3.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3.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3.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3.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3.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3.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3.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3.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3.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3.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3.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3.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3.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3.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3.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3.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3.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3.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3.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3.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3.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3.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3.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3.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3.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3.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3.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3.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3.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3.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3.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3.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3.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3.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3.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3.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3.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3.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3.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3.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3.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3.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3.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3.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3.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3.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3.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3.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3.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3.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3.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3.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3.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3.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3.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3.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3.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3.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3.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3.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3.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3.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3.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3.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3.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3.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3.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3.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3.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3.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3.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3.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3.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3.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3.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3.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3.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3.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3.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3.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3.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3.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3.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3.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3.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3.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3.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3.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3.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3.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3.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3.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3.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3.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3.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3.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3.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3.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3.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3.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3.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3.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3.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3.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3.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3.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3.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3.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3.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3.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3.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3.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3.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3.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3.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3.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3.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3.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3.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3.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3.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3.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3.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3.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3.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3.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3.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3.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3.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3.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3.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3.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3.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3.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3.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3.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3.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3.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3.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3.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3.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3.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3.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3.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3.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3.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3.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3.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3.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3.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3.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3.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3.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3.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3.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3.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3.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3.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3.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3.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3.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3.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3.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3.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3.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3.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3.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3.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3.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3.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3.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3.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3.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3.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3.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3.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3.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3.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3.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3.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3.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3.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3.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3.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3.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3.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3.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3.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3.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3.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3.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3.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3.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3.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3.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3.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3.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3.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3.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3.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3.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3.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3.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3.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3.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3.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3.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3.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3.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3.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3.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3.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3.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3.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3.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3.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3.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3.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3.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3.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3.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3.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3.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3.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3.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3.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3.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3.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3.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3.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3.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3.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3.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3.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3.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3.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3.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3.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3.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3.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3.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3.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3.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3.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3.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3.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3.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3.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3.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3.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3.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3.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3.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3.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3.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3.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3.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3.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3.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3.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3.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3.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3.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3.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3.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3.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3.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3.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3.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3.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3.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3.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3.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3.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3.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3.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3.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3.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3.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3.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3.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3.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3.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3.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3.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3.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3.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3.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3.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3.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3.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3.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3.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3.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3.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3.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3.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3.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3.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3.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3.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3.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3.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3.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3.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3.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3.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3.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3.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3.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3.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3.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3.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3.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3.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3.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3.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3.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3.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3.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3.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3.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3.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3.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3.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3.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3.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3.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3.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3.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3.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3.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3.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3.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3.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3.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3.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3.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3.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3.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3.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3.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3.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3.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3.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3.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3.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3.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3.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3.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3.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3.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3.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3.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3.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3.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3.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3.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3.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3.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3.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3.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3.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3.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3.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3.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3.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3.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3.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3.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3.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3.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3.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3.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3.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3.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3.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3.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3.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3.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3.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3.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3.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3.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3.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3.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3.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3.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3.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3.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3.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3.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3.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3.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3.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3.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3.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3.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3.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3.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3.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3.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3.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3.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3.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3.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3.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3.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3.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3.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3.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3.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3.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3.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3.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3.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3.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3.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3.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3.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3.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3.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3.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3.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3.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3.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3.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3.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3.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3.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3.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3.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3.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3.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3.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3.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3.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3.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3.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3.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3.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3.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3.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3.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3.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3.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3.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3.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3.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3.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3.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3.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3.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3.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3.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3.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3.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3.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3.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3.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3.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3.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3.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3.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3.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3.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3.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3.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3.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3.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3.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3.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3.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3.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3.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3.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3.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3.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3.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3.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3.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3.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3.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3.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3.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3.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3.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3.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3.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3.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3.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3.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3.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3.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3.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3.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3.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3.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3.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3.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3.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3.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3.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3.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3.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3.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3.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3.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3.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3.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3.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3.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3.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3.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3.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3.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3.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3.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3.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3.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3.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3.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3.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3.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3.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3.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3.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3.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3.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3.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3.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3.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3.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3.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3.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3.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3.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3.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3.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3.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3.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3.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3.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3.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3.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3.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3.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3.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3.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3.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3.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3.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3.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3.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3.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3.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3.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3.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3.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3.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3.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3.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3.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3.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3.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3.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3.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3.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3.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3.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3.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3.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3.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3.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3.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3.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3.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3.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3.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3.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3.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3.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3.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3.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3.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3.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3.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3.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3.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3.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3.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3.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3.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3.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3.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3.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3.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3.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3.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3.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3.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3.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3.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3.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3.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3.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3.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3.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3.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3.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3.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3.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3.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3.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3.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3.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3.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3.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3.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3.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3.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3.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3.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3.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3.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3.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3.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3.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3.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3.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3.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3.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3.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3.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3.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3.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3.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3.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3.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3.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3.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3.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3.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3.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3.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3.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3.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3.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3.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3.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3.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3.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3.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3.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3.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3.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3.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3.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3.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3.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3.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3.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3.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3.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3.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3.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3.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3.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3.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3.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3.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3.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3.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3.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3.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3.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3.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3.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3.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3.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3.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3.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3.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3.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3.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3.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3.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3.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3.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3.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3.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3.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3.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3.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3.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3.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3.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3.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3.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3.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3.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3.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3.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3.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3.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3.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3.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3.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3.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3.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3.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3.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3.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3.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3.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3.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3.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3.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3.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3.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3.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3.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3.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3.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3.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3.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3.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3.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3.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3.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3.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3.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3.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3.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3.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3.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3.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3.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3.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3.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3.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3.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3.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3.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3.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3.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3.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3.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3.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3.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3.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3.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3.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3.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3.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3.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3.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3.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3.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3.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3.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3.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3.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3.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3.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3.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3.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3.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3.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3.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3.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3.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3.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3.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3.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3.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3.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3.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3.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3.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3.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3.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3.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3.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3.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3.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3.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3.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3.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3.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3.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3.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3.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3.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3.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3.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3.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3.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3.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3.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3.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3.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3.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3.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3.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3.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3.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3.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3.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3.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3.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3.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3.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3.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3.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3.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3.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3.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3.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3.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3.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3.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3.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3.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3.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3.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3.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3.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3.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3.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3.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3.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3.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3.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3.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3.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3.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3.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3.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3.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3.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3.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3.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3.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3.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3.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3.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3.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3.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3.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3.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3.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3.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3.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3.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3.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3.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3.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3.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3.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3.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3.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3.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3.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3.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3.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3.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3.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3.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3.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3.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3.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3.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3.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3.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3.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3.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3.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3.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3.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3.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3.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3.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6">
    <mergeCell ref="B2:F2"/>
    <mergeCell ref="B4:C5"/>
    <mergeCell ref="D4:D5"/>
    <mergeCell ref="E4:E5"/>
    <mergeCell ref="F4:F5"/>
    <mergeCell ref="G4:H4"/>
  </mergeCells>
  <dataValidations>
    <dataValidation type="list" allowBlank="1" showErrorMessage="1" sqref="E6:E34">
      <formula1>List_1</formula1>
    </dataValidation>
    <dataValidation type="list" allowBlank="1" showErrorMessage="1" sqref="D6:D34">
      <formula1>List_2</formula1>
    </dataValidation>
  </dataValidation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86"/>
    <col customWidth="1" min="4" max="4" width="26.14"/>
    <col customWidth="1" min="5" max="26" width="8.86"/>
  </cols>
  <sheetData>
    <row r="1">
      <c r="B1" s="50" t="s">
        <v>440</v>
      </c>
      <c r="D1" s="50" t="s">
        <v>441</v>
      </c>
    </row>
    <row r="2">
      <c r="B2" s="50" t="s">
        <v>119</v>
      </c>
      <c r="D2" s="50" t="s">
        <v>81</v>
      </c>
    </row>
    <row r="3">
      <c r="B3" s="50" t="s">
        <v>85</v>
      </c>
      <c r="D3" s="50" t="s">
        <v>116</v>
      </c>
    </row>
    <row r="4">
      <c r="B4" s="50" t="s">
        <v>82</v>
      </c>
      <c r="D4" s="50" t="s">
        <v>110</v>
      </c>
    </row>
    <row r="5">
      <c r="B5" s="50" t="s">
        <v>216</v>
      </c>
      <c r="D5" s="50" t="s">
        <v>442</v>
      </c>
    </row>
    <row r="6">
      <c r="D6" s="50" t="s">
        <v>443</v>
      </c>
    </row>
    <row r="11">
      <c r="B11" s="50" t="s">
        <v>444</v>
      </c>
    </row>
    <row r="12">
      <c r="B12" s="50" t="s">
        <v>445</v>
      </c>
    </row>
    <row r="13">
      <c r="B13" s="50" t="s">
        <v>446</v>
      </c>
    </row>
    <row r="14">
      <c r="B14" s="50" t="s">
        <v>447</v>
      </c>
    </row>
    <row r="16">
      <c r="B16" s="50" t="s">
        <v>448</v>
      </c>
    </row>
    <row r="17">
      <c r="B17" s="50" t="s">
        <v>119</v>
      </c>
    </row>
    <row r="18">
      <c r="B18" s="50" t="s">
        <v>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2023-02-23T17:57:51Z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24214e-5322-4789-8422-cbe411bc3a74_Enabled">
    <vt:lpwstr>true</vt:lpwstr>
  </property>
  <property fmtid="{D5CDD505-2E9C-101B-9397-08002B2CF9AE}" pid="3" name="MSIP_Label_7d24214e-5322-4789-8422-cbe411bc3a74_SetDate">
    <vt:lpwstr>2023-02-23T17:57:54Z</vt:lpwstr>
  </property>
  <property fmtid="{D5CDD505-2E9C-101B-9397-08002B2CF9AE}" pid="4" name="MSIP_Label_7d24214e-5322-4789-8422-cbe411bc3a74_Method">
    <vt:lpwstr>Standard</vt:lpwstr>
  </property>
  <property fmtid="{D5CDD505-2E9C-101B-9397-08002B2CF9AE}" pid="5" name="MSIP_Label_7d24214e-5322-4789-8422-cbe411bc3a74_Name">
    <vt:lpwstr>7d24214e-5322-4789-8422-cbe411bc3a74</vt:lpwstr>
  </property>
  <property fmtid="{D5CDD505-2E9C-101B-9397-08002B2CF9AE}" pid="6" name="MSIP_Label_7d24214e-5322-4789-8422-cbe411bc3a74_SiteId">
    <vt:lpwstr>113d1920-a1e0-48cf-a70a-868cbb03f3f6</vt:lpwstr>
  </property>
  <property fmtid="{D5CDD505-2E9C-101B-9397-08002B2CF9AE}" pid="7" name="MSIP_Label_7d24214e-5322-4789-8422-cbe411bc3a74_ActionId">
    <vt:lpwstr>5cf2b117-1fcb-4e6a-8e1f-b25173a7b7e0</vt:lpwstr>
  </property>
  <property fmtid="{D5CDD505-2E9C-101B-9397-08002B2CF9AE}" pid="8" name="MSIP_Label_7d24214e-5322-4789-8422-cbe411bc3a74_ContentBits">
    <vt:lpwstr>0</vt:lpwstr>
  </property>
</Properties>
</file>